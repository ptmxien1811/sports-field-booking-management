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765" windowWidth="30240" windowHeight="17145" tabRatio="821" activeTab="2"/>
  </bookViews>
  <sheets>
    <sheet name="Cover" sheetId="97" r:id="rId1"/>
    <sheet name="Samples" sheetId="122" r:id="rId2"/>
    <sheet name="Cancel booking" sheetId="123" r:id="rId3"/>
    <sheet name="Test Report" sheetId="107" r:id="rId4"/>
  </sheets>
  <externalReferences>
    <externalReference r:id="rId5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3" l="1"/>
  <c r="B7" i="123" l="1"/>
  <c r="D6" i="123"/>
  <c r="B6" i="123"/>
  <c r="D7" i="122" l="1"/>
  <c r="G8" i="107" s="1"/>
  <c r="G10" i="107" s="1"/>
  <c r="B6" i="122"/>
  <c r="D8" i="107" s="1"/>
  <c r="D10" i="107" s="1"/>
  <c r="B7" i="122"/>
  <c r="E8" i="107" s="1"/>
  <c r="E10" i="107" s="1"/>
  <c r="D6" i="122"/>
  <c r="F8" i="107" s="1"/>
  <c r="F10" i="107" s="1"/>
  <c r="C8" i="107"/>
  <c r="E13" i="107" l="1"/>
  <c r="E12" i="107"/>
</calcChain>
</file>

<file path=xl/sharedStrings.xml><?xml version="1.0" encoding="utf-8"?>
<sst xmlns="http://schemas.openxmlformats.org/spreadsheetml/2006/main" count="128" uniqueCount="92">
  <si>
    <t>31/07/2007</t>
  </si>
  <si>
    <r>
      <t>Don't 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</si>
  <si>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r>
      <t>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</si>
  <si>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TC1</t>
  </si>
  <si>
    <t>TC2</t>
  </si>
  <si>
    <t>TC3</t>
  </si>
  <si>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</si>
  <si>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</si>
  <si>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</si>
  <si>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</si>
  <si>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</si>
  <si>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</si>
  <si>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</si>
  <si>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</si>
  <si>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</si>
  <si>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First creation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</si>
  <si>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</si>
  <si>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</si>
  <si>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</si>
  <si>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</si>
  <si>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</si>
  <si>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</si>
  <si>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</si>
  <si>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</si>
  <si>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</si>
  <si>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</si>
  <si>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</si>
  <si>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</si>
  <si>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</si>
  <si>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</si>
  <si>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</si>
  <si>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</si>
  <si>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</si>
  <si>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</si>
  <si>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</si>
  <si>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</si>
  <si>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</si>
  <si>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</si>
  <si>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</si>
  <si>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</si>
  <si>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</si>
  <si>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</si>
  <si>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1.0</t>
  </si>
  <si>
    <t>Checking new role is added</t>
  </si>
  <si>
    <t>CR236 "Export all carrier choices"</t>
  </si>
  <si>
    <r>
      <t xml:space="preserve">Checking new function is added in </t>
    </r>
    <r>
      <rPr>
        <b/>
        <sz val="10"/>
        <color indexed="8"/>
        <rFont val="Tahoma"/>
        <family val="2"/>
      </rPr>
      <t>Classic or Current Mode</t>
    </r>
  </si>
  <si>
    <r>
      <t>Role Tab is added a new role, it's name "</t>
    </r>
    <r>
      <rPr>
        <b/>
        <sz val="10"/>
        <color indexed="8"/>
        <rFont val="Tahoma"/>
        <family val="2"/>
      </rPr>
      <t>CanExportAllCarrierChoices"</t>
    </r>
  </si>
  <si>
    <t>Check set Role CanExportAllCarrierChoices = True</t>
  </si>
  <si>
    <t>Check set Role CanExportAllCarrierChoices = False</t>
  </si>
  <si>
    <t>1.1</t>
  </si>
  <si>
    <t>Update testcase</t>
  </si>
  <si>
    <t>1.2</t>
  </si>
  <si>
    <t>Sameple project</t>
  </si>
  <si>
    <t>UTEHY-SE01</t>
  </si>
  <si>
    <t>Test Leader 01</t>
  </si>
  <si>
    <t>Sample Project</t>
  </si>
  <si>
    <t>CR100 - Export to excel</t>
  </si>
  <si>
    <t xml:space="preserve">CR1 - </t>
  </si>
  <si>
    <t>1. Check add role "CanExportAllCarrierChoises": This will be typically set for System users only</t>
  </si>
  <si>
    <t xml:space="preserve">1: Go to the system TestProEngine with Classic or Current or Expert Mode
2: Go to maintenance 
3: Click Maintenance Users
4: Click Role Tab
</t>
  </si>
  <si>
    <t>1: Go to the system TestProEngine with Classic or Current  Mode that has to set role "CanExportAllCarrierChoices"
2: Submit for the quote 
3: Open the quote at the home
4: Go to Quick Links</t>
  </si>
  <si>
    <t>1: Go to the system TestProEngine with Classic or Current  Mode that has not to set role "CanExportAllCarrierChoices"
2: Submit for the quote 
3: Open the quote at the home
4: Go to Quick Links</t>
  </si>
  <si>
    <t>John Doe</t>
  </si>
  <si>
    <t>Jane Doe</t>
  </si>
  <si>
    <t>Expected Results</t>
  </si>
  <si>
    <t>Actual Results</t>
  </si>
  <si>
    <t>Status</t>
  </si>
  <si>
    <t>1. Chỉ người đặt mới được hủy</t>
  </si>
  <si>
    <t>HỦY ĐẶT SÂN</t>
  </si>
  <si>
    <t>Hủy sân sau khi đặt sân trong cùng một tài khoản</t>
  </si>
  <si>
    <t>Hệ thống tự động tải lại trang, tab "Sân đã đặt" không còn sân vừa hủy.</t>
  </si>
  <si>
    <t>2. Không hủy khi còn &lt;2 giờ trước giờ chơi</t>
  </si>
  <si>
    <t>3. Không hủy khi đang chơi</t>
  </si>
  <si>
    <t>TC2-01</t>
  </si>
  <si>
    <t>TC2-02</t>
  </si>
  <si>
    <t xml:space="preserve">1: Truy cập vào trang và đăng nhập tài khoản thành công.
2: Chuyển tab "Sân đã đặt" nhấn "HỦY SÂN" cần hủy.
</t>
  </si>
  <si>
    <t>CR200 - CANCEL BOOKING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</si>
  <si>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</si>
  <si>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</si>
  <si>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</si>
  <si>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TC2-03</t>
  </si>
  <si>
    <t>Hệ thống có thông báo "Sân đang trong giờ sử dụng, bạn không thể hủy lúc này!"</t>
  </si>
  <si>
    <t>1: Truy cập vào trang và đăng nhập tài khoản thành công.
2: Chuyển sang tab "Sân đã đặt".
3:  Nhấn "HỦY SÂN" ở một sân có khoảng thời gian trùng với thời điểm hiện tại.</t>
  </si>
  <si>
    <t>Hủy một sân đang trong thời gian sử dụng</t>
  </si>
  <si>
    <t>TC2-04</t>
  </si>
  <si>
    <t>Hủy một sân khi đã thi đấu xong</t>
  </si>
  <si>
    <t>1: Truy cập vào trang và đăng nhập tài khoản thành công.
2: Chuyển sang tab "Sân đã đặt".
3:  Nhấn "HỦY SÂN" ở một sân có khoảng thời gian đã qua thời điểm hiện tại.</t>
  </si>
  <si>
    <t>Hệ thống có thông báo "Sân này đã thi đấu xong , không thể hủy!!"</t>
  </si>
  <si>
    <t>TC2-05</t>
  </si>
  <si>
    <t>Hủy một sân ngay trước giờ đá</t>
  </si>
  <si>
    <t>1: Truy cập vào trang và đăng nhập tài khoản thành công.
2: Chuyển sang tab "Sân đã đặt".
3:  Nhấn "HỦY SÂN" ở một sân có khoảng thời gian 1 phút sau thời điểm hiện tại</t>
  </si>
  <si>
    <t>Hệ thống có thông báo "Sân sắp đá, không được hủy!"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</si>
</sst>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9]d\-mmm\-yy;@"/>
    <numFmt numFmtId="165" formatCode="0.000"/>
  </numFmts>
  <fonts count="24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54">
    <xf numFmtId="0" fontId="0" fillId="0" borderId="0" xfId="0"/>
    <xf numFmtId="0" fontId="8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vertical="top"/>
    </xf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/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16" fillId="3" borderId="10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4" fillId="2" borderId="0" xfId="2" applyFont="1" applyFill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6" fillId="0" borderId="1" xfId="0" quotePrefix="1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20" xfId="0" applyFont="1" applyBorder="1" applyAlignment="1">
      <alignment horizontal="left" vertical="top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2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0" fontId="4" fillId="0" borderId="0" xfId="0" applyFont="1" applyBorder="1"/>
    <xf numFmtId="0" fontId="0" fillId="0" borderId="0" xfId="0" applyBorder="1"/>
    <xf numFmtId="0" fontId="6" fillId="0" borderId="22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165" fontId="6" fillId="0" borderId="20" xfId="0" applyNumberFormat="1" applyFont="1" applyBorder="1" applyAlignment="1">
      <alignment horizontal="left" vertical="top" wrapText="1"/>
    </xf>
    <xf numFmtId="0" fontId="23" fillId="0" borderId="1" xfId="0" applyFont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 wrapText="1"/>
    </xf>
    <xf numFmtId="0" fontId="22" fillId="4" borderId="32" xfId="2" applyFont="1" applyFill="1" applyBorder="1" applyAlignment="1">
      <alignment horizontal="left" vertical="center" wrapText="1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15" fillId="5" borderId="2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22" fillId="4" borderId="20" xfId="2" applyFont="1" applyFill="1" applyBorder="1" applyAlignment="1">
      <alignment horizontal="center" vertical="center" wrapText="1"/>
    </xf>
    <xf numFmtId="0" fontId="22" fillId="4" borderId="22" xfId="2" applyFont="1" applyFill="1" applyBorder="1" applyAlignment="1">
      <alignment horizontal="center" vertical="center" wrapText="1"/>
    </xf>
    <xf numFmtId="0" fontId="22" fillId="0" borderId="20" xfId="0" applyFont="1" applyBorder="1" applyAlignment="1">
      <alignment horizontal="left" vertical="top" wrapText="1"/>
    </xf>
    <xf numFmtId="0" fontId="22" fillId="0" borderId="22" xfId="0" applyFont="1" applyBorder="1" applyAlignment="1">
      <alignment horizontal="left" vertical="top" wrapText="1"/>
    </xf>
    <xf numFmtId="0" fontId="15" fillId="5" borderId="34" xfId="2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15" fillId="5" borderId="1" xfId="2" applyFont="1" applyFill="1" applyBorder="1" applyAlignment="1">
      <alignment horizontal="center"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6" fillId="2" borderId="28" xfId="0" applyFont="1" applyFill="1" applyBorder="1" applyAlignment="1">
      <alignment horizontal="center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22" fillId="4" borderId="20" xfId="2" applyFont="1" applyFill="1" applyBorder="1" applyAlignment="1">
      <alignment horizontal="left" vertical="center" wrapText="1"/>
    </xf>
    <xf numFmtId="0" fontId="22" fillId="4" borderId="22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20" fillId="6" borderId="22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15" fillId="5" borderId="29" xfId="2" applyFont="1" applyFill="1" applyBorder="1" applyAlignment="1">
      <alignment vertical="center" wrapText="1"/>
    </xf>
    <xf numFmtId="0" fontId="15" fillId="5" borderId="1" xfId="2" applyFont="1" applyFill="1" applyBorder="1" applyAlignment="1">
      <alignment vertical="center" wrapText="1"/>
    </xf>
    <xf numFmtId="0" fontId="6" fillId="0" borderId="35" xfId="0" applyFont="1" applyBorder="1" applyAlignment="1">
      <alignment horizontal="left" vertical="top" wrapText="1"/>
    </xf>
    <xf numFmtId="0" fontId="6" fillId="0" borderId="36" xfId="0" applyFont="1" applyBorder="1" applyAlignment="1">
      <alignment horizontal="left" vertical="top" wrapText="1"/>
    </xf>
  </cellXfs>
  <cellStyles count="4">
    <cellStyle name="Normal" xfId="0" builtinId="0"/>
    <cellStyle name="Normal_Functional Test Case v1.0" xfId="1"/>
    <cellStyle name="Normal_Sheet1_Vanco_CR022a1_TestCase_v0.1" xfId="2"/>
    <cellStyle name="標準_結合試験(AllOvertheWorld)" xf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showGridLines="0" workbookViewId="0">
      <selection activeCell="B13" sqref="B13"/>
    </sheetView>
  </sheetViews>
  <sheetFormatPr defaultColWidth="9" defaultRowHeight="14.25"/>
  <cols>
    <col min="1" max="1" width="9" style="1"/>
    <col min="2" max="2" width="14.125" style="1" customWidth="1"/>
    <col min="3" max="3" width="9" style="1"/>
    <col min="4" max="4" width="15" style="1" customWidth="1"/>
    <col min="5" max="5" width="32.5" style="1" customWidth="1"/>
    <col min="6" max="6" width="23.875" style="1" customWidth="1"/>
    <col min="7" max="7" width="20.5" style="1" customWidth="1"/>
    <col min="8" max="8" width="26.625" style="1" customWidth="1"/>
    <col min="9" max="16384" width="9" style="1"/>
  </cols>
  <sheetData>
    <row r="2" spans="1:8" ht="22.5">
      <c r="A2" s="25"/>
      <c r="B2" s="26" t="s">
        <v>8</v>
      </c>
      <c r="C2" s="25"/>
      <c r="D2" s="25"/>
      <c r="E2" s="25"/>
      <c r="F2" s="25"/>
      <c r="G2" s="25"/>
    </row>
    <row r="3" spans="1:8">
      <c r="A3" s="25"/>
      <c r="B3" s="27" t="s">
        <v>35</v>
      </c>
      <c r="C3" s="61">
        <v>1.2</v>
      </c>
      <c r="D3" s="28"/>
      <c r="E3" s="25"/>
      <c r="F3" s="25"/>
      <c r="G3" s="25"/>
    </row>
    <row r="4" spans="1:8">
      <c r="A4" s="25"/>
      <c r="B4" s="27" t="s">
        <v>18</v>
      </c>
      <c r="C4" s="11" t="s">
        <v>0</v>
      </c>
      <c r="D4" s="11"/>
      <c r="E4" s="25"/>
      <c r="F4" s="25"/>
      <c r="G4" s="25"/>
    </row>
    <row r="5" spans="1:8" ht="15" thickBot="1">
      <c r="A5" s="25"/>
      <c r="B5" s="27"/>
      <c r="C5" s="28"/>
      <c r="D5" s="28"/>
      <c r="E5" s="25"/>
      <c r="F5" s="25"/>
      <c r="G5" s="25"/>
    </row>
    <row r="6" spans="1:8" ht="14.25" customHeight="1" thickBot="1">
      <c r="A6" s="25"/>
      <c r="B6" s="27" t="s">
        <v>36</v>
      </c>
      <c r="C6" s="116" t="s">
        <v>52</v>
      </c>
      <c r="D6" s="116"/>
      <c r="E6" s="117"/>
      <c r="F6" s="25"/>
      <c r="G6" s="25"/>
    </row>
    <row r="7" spans="1:8">
      <c r="A7" s="25"/>
      <c r="B7" s="27" t="s">
        <v>37</v>
      </c>
      <c r="C7" s="116" t="s">
        <v>53</v>
      </c>
      <c r="D7" s="116"/>
      <c r="E7" s="117"/>
      <c r="F7" s="25"/>
      <c r="G7" s="25"/>
    </row>
    <row r="8" spans="1:8">
      <c r="A8" s="25"/>
      <c r="B8" s="27"/>
      <c r="C8" s="25"/>
      <c r="D8" s="25"/>
      <c r="E8" s="25"/>
      <c r="F8" s="25"/>
      <c r="G8" s="25"/>
    </row>
    <row r="9" spans="1:8">
      <c r="A9" s="25"/>
      <c r="B9" s="19"/>
      <c r="C9" s="19"/>
      <c r="D9" s="19"/>
      <c r="E9" s="19"/>
      <c r="F9" s="25"/>
      <c r="G9" s="25"/>
    </row>
    <row r="10" spans="1:8">
      <c r="B10" s="5" t="s">
        <v>27</v>
      </c>
    </row>
    <row r="11" spans="1:8" s="34" customFormat="1" ht="25.5">
      <c r="B11" s="50" t="s">
        <v>14</v>
      </c>
      <c r="C11" s="51" t="s">
        <v>28</v>
      </c>
      <c r="D11" s="51" t="s">
        <v>10</v>
      </c>
      <c r="E11" s="51" t="s">
        <v>11</v>
      </c>
      <c r="F11" s="51" t="s">
        <v>17</v>
      </c>
      <c r="G11" s="52" t="s">
        <v>16</v>
      </c>
      <c r="H11" s="86" t="s">
        <v>29</v>
      </c>
    </row>
    <row r="12" spans="1:8" s="34" customFormat="1">
      <c r="B12" s="36">
        <v>39293</v>
      </c>
      <c r="C12" s="37" t="s">
        <v>42</v>
      </c>
      <c r="D12" s="38"/>
      <c r="E12" s="39" t="s">
        <v>15</v>
      </c>
      <c r="F12" s="73" t="s">
        <v>62</v>
      </c>
      <c r="G12" s="85"/>
      <c r="H12" s="87" t="s">
        <v>44</v>
      </c>
    </row>
    <row r="13" spans="1:8" s="34" customFormat="1">
      <c r="B13" s="98">
        <v>39295</v>
      </c>
      <c r="C13" s="37" t="s">
        <v>49</v>
      </c>
      <c r="D13" s="38"/>
      <c r="E13" s="39" t="s">
        <v>50</v>
      </c>
      <c r="F13" s="73" t="s">
        <v>62</v>
      </c>
      <c r="G13" s="97" t="s">
        <v>63</v>
      </c>
      <c r="H13" s="87" t="s">
        <v>44</v>
      </c>
    </row>
    <row r="14" spans="1:8" s="35" customFormat="1" ht="12.75">
      <c r="B14" s="36">
        <v>39311</v>
      </c>
      <c r="C14" s="37" t="s">
        <v>51</v>
      </c>
      <c r="D14" s="38"/>
      <c r="E14" s="39" t="s">
        <v>50</v>
      </c>
      <c r="F14" s="73" t="s">
        <v>62</v>
      </c>
      <c r="G14" s="97" t="s">
        <v>54</v>
      </c>
      <c r="H14" s="87" t="s">
        <v>44</v>
      </c>
    </row>
    <row r="15" spans="1:8" s="35" customFormat="1" ht="12.75">
      <c r="B15" s="43"/>
      <c r="C15" s="44"/>
      <c r="D15" s="41"/>
      <c r="E15" s="41"/>
      <c r="F15" s="41"/>
      <c r="G15" s="41"/>
      <c r="H15" s="42"/>
    </row>
    <row r="16" spans="1:8" s="34" customFormat="1">
      <c r="B16" s="36"/>
      <c r="C16" s="40"/>
      <c r="D16" s="38"/>
      <c r="E16" s="41"/>
      <c r="F16" s="41"/>
      <c r="G16" s="41"/>
      <c r="H16" s="45"/>
    </row>
    <row r="17" spans="2:8" s="34" customFormat="1">
      <c r="B17" s="43"/>
      <c r="C17" s="44"/>
      <c r="D17" s="41"/>
      <c r="E17" s="41"/>
      <c r="F17" s="41"/>
      <c r="G17" s="41"/>
      <c r="H17" s="42"/>
    </row>
    <row r="18" spans="2:8" s="34" customFormat="1">
      <c r="B18" s="43"/>
      <c r="C18" s="44"/>
      <c r="D18" s="41"/>
      <c r="E18" s="41"/>
      <c r="F18" s="41"/>
      <c r="G18" s="41"/>
      <c r="H18" s="42"/>
    </row>
    <row r="19" spans="2:8" s="34" customFormat="1">
      <c r="B19" s="43"/>
      <c r="C19" s="44"/>
      <c r="D19" s="41"/>
      <c r="E19" s="41"/>
      <c r="F19" s="41"/>
      <c r="G19" s="41"/>
      <c r="H19" s="42"/>
    </row>
    <row r="20" spans="2:8" s="34" customFormat="1">
      <c r="B20" s="43"/>
      <c r="C20" s="44"/>
      <c r="D20" s="41"/>
      <c r="E20" s="41"/>
      <c r="F20" s="41"/>
      <c r="G20" s="41"/>
      <c r="H20" s="42"/>
    </row>
    <row r="21" spans="2:8" s="34" customFormat="1">
      <c r="B21" s="43"/>
      <c r="C21" s="44"/>
      <c r="D21" s="41"/>
      <c r="E21" s="41"/>
      <c r="F21" s="41"/>
      <c r="G21" s="41"/>
      <c r="H21" s="42"/>
    </row>
    <row r="22" spans="2:8" s="34" customFormat="1">
      <c r="B22" s="43"/>
      <c r="C22" s="44"/>
      <c r="D22" s="41"/>
      <c r="E22" s="41"/>
      <c r="F22" s="41"/>
      <c r="G22" s="41"/>
      <c r="H22" s="42"/>
    </row>
    <row r="23" spans="2:8" s="34" customFormat="1">
      <c r="B23" s="46"/>
      <c r="C23" s="47"/>
      <c r="D23" s="48"/>
      <c r="E23" s="48"/>
      <c r="F23" s="48"/>
      <c r="G23" s="48"/>
      <c r="H23" s="49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workbookViewId="0">
      <selection activeCell="A12" sqref="A12:K12"/>
    </sheetView>
  </sheetViews>
  <sheetFormatPr defaultColWidth="8.875" defaultRowHeight="14.25" outlineLevelRow="1"/>
  <cols>
    <col min="1" max="1" width="15.625" customWidth="1"/>
    <col min="2" max="2" width="18.125" customWidth="1"/>
    <col min="3" max="3" width="42.125" customWidth="1"/>
    <col min="6" max="6" width="22.625" customWidth="1"/>
    <col min="7" max="7" width="0.125" customWidth="1"/>
    <col min="8" max="8" width="38" customWidth="1"/>
    <col min="9" max="9" width="17.125" customWidth="1"/>
    <col min="10" max="10" width="9" style="108"/>
    <col min="11" max="11" width="18" style="109" customWidth="1"/>
  </cols>
  <sheetData>
    <row r="1" spans="1:12" s="2" customFormat="1" ht="12.75" customHeight="1">
      <c r="A1" s="62" t="s">
        <v>8</v>
      </c>
      <c r="B1" s="134"/>
      <c r="C1" s="134"/>
      <c r="D1" s="134"/>
      <c r="E1" s="6"/>
      <c r="F1" s="6"/>
      <c r="G1" s="6"/>
      <c r="H1" s="6"/>
      <c r="I1" s="6"/>
      <c r="J1" s="99"/>
      <c r="K1" s="6"/>
      <c r="L1" s="7"/>
    </row>
    <row r="2" spans="1:12" s="2" customFormat="1" ht="11.25" customHeight="1" thickBot="1">
      <c r="A2" s="7"/>
      <c r="B2" s="135"/>
      <c r="C2" s="135"/>
      <c r="D2" s="135"/>
      <c r="E2" s="6"/>
      <c r="F2" s="6"/>
      <c r="G2" s="6"/>
      <c r="H2" s="6"/>
      <c r="I2" s="6"/>
      <c r="J2" s="99"/>
      <c r="K2" s="6"/>
      <c r="L2" s="7"/>
    </row>
    <row r="3" spans="1:12" s="3" customFormat="1" ht="15" customHeight="1">
      <c r="A3" s="63" t="s">
        <v>38</v>
      </c>
      <c r="B3" s="116" t="s">
        <v>55</v>
      </c>
      <c r="C3" s="116"/>
      <c r="D3" s="117"/>
      <c r="E3" s="66"/>
      <c r="F3" s="66"/>
      <c r="G3" s="66"/>
      <c r="H3" s="66"/>
      <c r="I3" s="144"/>
      <c r="J3" s="144"/>
      <c r="K3" s="144"/>
      <c r="L3" s="9"/>
    </row>
    <row r="4" spans="1:12" s="3" customFormat="1" ht="12.75">
      <c r="A4" s="68" t="s">
        <v>39</v>
      </c>
      <c r="B4" s="145" t="s">
        <v>56</v>
      </c>
      <c r="C4" s="146"/>
      <c r="D4" s="147"/>
      <c r="E4" s="66"/>
      <c r="F4" s="66"/>
      <c r="G4" s="66"/>
      <c r="H4" s="66"/>
      <c r="I4" s="144"/>
      <c r="J4" s="144"/>
      <c r="K4" s="144"/>
      <c r="L4" s="9"/>
    </row>
    <row r="5" spans="1:12" s="77" customFormat="1" ht="12.75">
      <c r="A5" s="68" t="s">
        <v>32</v>
      </c>
      <c r="B5" s="137" t="s">
        <v>57</v>
      </c>
      <c r="C5" s="138"/>
      <c r="D5" s="139"/>
      <c r="E5" s="75"/>
      <c r="F5" s="75"/>
      <c r="G5" s="75"/>
      <c r="H5" s="75"/>
      <c r="I5" s="143"/>
      <c r="J5" s="143"/>
      <c r="K5" s="143"/>
      <c r="L5" s="76"/>
    </row>
    <row r="6" spans="1:12" s="3" customFormat="1" ht="15" customHeight="1">
      <c r="A6" s="12" t="s">
        <v>40</v>
      </c>
      <c r="B6" s="88">
        <f>COUNTIF(J12:J17,"Pass")</f>
        <v>3</v>
      </c>
      <c r="C6" s="10" t="s">
        <v>41</v>
      </c>
      <c r="D6" s="13">
        <f>COUNTIF(J10:J736,"Pending")</f>
        <v>0</v>
      </c>
      <c r="E6" s="8"/>
      <c r="F6" s="8"/>
      <c r="G6" s="8"/>
      <c r="H6" s="8"/>
      <c r="I6" s="144"/>
      <c r="J6" s="144"/>
      <c r="K6" s="144"/>
      <c r="L6" s="9"/>
    </row>
    <row r="7" spans="1:12" s="3" customFormat="1" ht="15" customHeight="1" thickBot="1">
      <c r="A7" s="14" t="s">
        <v>6</v>
      </c>
      <c r="B7" s="89">
        <f>COUNTIF(J12:J17,"Fail")</f>
        <v>0</v>
      </c>
      <c r="C7" s="29" t="s">
        <v>31</v>
      </c>
      <c r="D7" s="64">
        <f>COUNTA(A12:A17) -15</f>
        <v>-9</v>
      </c>
      <c r="E7" s="67"/>
      <c r="F7" s="67"/>
      <c r="G7" s="67"/>
      <c r="H7" s="67"/>
      <c r="I7" s="144"/>
      <c r="J7" s="144"/>
      <c r="K7" s="144"/>
      <c r="L7" s="9"/>
    </row>
    <row r="8" spans="1:12" s="3" customFormat="1" ht="15" customHeight="1">
      <c r="A8" s="136"/>
      <c r="B8" s="136"/>
      <c r="C8" s="136"/>
      <c r="D8" s="136"/>
      <c r="E8" s="8"/>
      <c r="F8" s="8"/>
      <c r="G8" s="8"/>
      <c r="H8" s="8"/>
      <c r="I8" s="8"/>
      <c r="J8" s="100"/>
      <c r="K8" s="100"/>
      <c r="L8" s="9"/>
    </row>
    <row r="9" spans="1:12" s="79" customFormat="1" ht="12" customHeight="1">
      <c r="A9" s="119" t="s">
        <v>33</v>
      </c>
      <c r="B9" s="150" t="s">
        <v>9</v>
      </c>
      <c r="C9" s="119" t="s">
        <v>19</v>
      </c>
      <c r="D9" s="128" t="s">
        <v>64</v>
      </c>
      <c r="E9" s="129"/>
      <c r="F9" s="129"/>
      <c r="G9" s="130"/>
      <c r="H9" s="124" t="s">
        <v>65</v>
      </c>
      <c r="I9" s="118" t="s">
        <v>30</v>
      </c>
      <c r="J9" s="118" t="s">
        <v>66</v>
      </c>
      <c r="K9" s="118" t="s">
        <v>34</v>
      </c>
      <c r="L9" s="78"/>
    </row>
    <row r="10" spans="1:12" s="3" customFormat="1" ht="12" customHeight="1">
      <c r="A10" s="127"/>
      <c r="B10" s="151"/>
      <c r="C10" s="127"/>
      <c r="D10" s="131"/>
      <c r="E10" s="132"/>
      <c r="F10" s="132"/>
      <c r="G10" s="133"/>
      <c r="H10" s="119"/>
      <c r="I10" s="119"/>
      <c r="J10" s="119"/>
      <c r="K10" s="119"/>
      <c r="L10" s="9"/>
    </row>
    <row r="11" spans="1:12" s="80" customFormat="1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</row>
    <row r="12" spans="1:12" s="4" customFormat="1" ht="12.75">
      <c r="A12" s="140" t="s">
        <v>58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2"/>
    </row>
    <row r="13" spans="1:12" s="4" customFormat="1" ht="76.5" outlineLevel="1">
      <c r="A13" s="84" t="s">
        <v>3</v>
      </c>
      <c r="B13" s="90" t="s">
        <v>43</v>
      </c>
      <c r="C13" s="83" t="s">
        <v>59</v>
      </c>
      <c r="D13" s="126" t="s">
        <v>46</v>
      </c>
      <c r="E13" s="125"/>
      <c r="F13" s="125"/>
      <c r="G13" s="82"/>
      <c r="H13" s="101"/>
      <c r="I13" s="96"/>
      <c r="J13" s="83" t="s">
        <v>40</v>
      </c>
      <c r="K13" s="81"/>
    </row>
    <row r="14" spans="1:12" s="4" customFormat="1" ht="12.75" outlineLevel="1">
      <c r="A14" s="120" t="s">
        <v>47</v>
      </c>
      <c r="B14" s="121"/>
      <c r="C14" s="121"/>
      <c r="D14" s="94"/>
      <c r="E14" s="94"/>
      <c r="F14" s="94"/>
      <c r="G14" s="94"/>
      <c r="H14" s="94"/>
      <c r="I14" s="94"/>
      <c r="J14" s="94"/>
      <c r="K14" s="95"/>
    </row>
    <row r="15" spans="1:12" s="4" customFormat="1" ht="63.75" customHeight="1" outlineLevel="1">
      <c r="A15" s="84" t="s">
        <v>4</v>
      </c>
      <c r="B15" s="92" t="s">
        <v>45</v>
      </c>
      <c r="C15" s="93" t="s">
        <v>60</v>
      </c>
      <c r="D15" s="122" t="s">
        <v>2</v>
      </c>
      <c r="E15" s="125"/>
      <c r="F15" s="125"/>
      <c r="G15" s="82"/>
      <c r="H15" s="101"/>
      <c r="I15" s="91"/>
      <c r="J15" s="83" t="s">
        <v>40</v>
      </c>
      <c r="K15" s="81"/>
    </row>
    <row r="16" spans="1:12" s="4" customFormat="1" ht="12.75" outlineLevel="1">
      <c r="A16" s="120" t="s">
        <v>48</v>
      </c>
      <c r="B16" s="121"/>
      <c r="C16" s="121"/>
      <c r="D16" s="94"/>
      <c r="E16" s="94"/>
      <c r="F16" s="94"/>
      <c r="G16" s="94"/>
      <c r="H16" s="94"/>
      <c r="I16" s="94"/>
      <c r="J16" s="94"/>
      <c r="K16" s="95"/>
    </row>
    <row r="17" spans="1:11" s="4" customFormat="1" ht="63.75" customHeight="1" outlineLevel="1">
      <c r="A17" s="84" t="s">
        <v>5</v>
      </c>
      <c r="B17" s="102" t="s">
        <v>45</v>
      </c>
      <c r="C17" s="83" t="s">
        <v>61</v>
      </c>
      <c r="D17" s="122" t="s">
        <v>1</v>
      </c>
      <c r="E17" s="123"/>
      <c r="F17" s="123"/>
      <c r="G17" s="82"/>
      <c r="H17" s="101"/>
      <c r="I17" s="91"/>
      <c r="J17" s="83" t="s">
        <v>40</v>
      </c>
      <c r="K17" s="81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A8:D8"/>
    <mergeCell ref="B5:D5"/>
    <mergeCell ref="A12:K12"/>
    <mergeCell ref="I5:K5"/>
    <mergeCell ref="I6:K6"/>
    <mergeCell ref="I7:K7"/>
    <mergeCell ref="B3:D3"/>
    <mergeCell ref="I4:K4"/>
    <mergeCell ref="K9:K10"/>
    <mergeCell ref="I3:K3"/>
    <mergeCell ref="B4:D4"/>
    <mergeCell ref="I9:I10"/>
    <mergeCell ref="A11:K11"/>
    <mergeCell ref="A9:A10"/>
    <mergeCell ref="B9:B10"/>
    <mergeCell ref="J9:J10"/>
    <mergeCell ref="A16:C16"/>
    <mergeCell ref="D17:F17"/>
    <mergeCell ref="H9:H10"/>
    <mergeCell ref="D15:F15"/>
    <mergeCell ref="D13:F13"/>
    <mergeCell ref="C9:C10"/>
    <mergeCell ref="D9:G10"/>
    <mergeCell ref="A14:C14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workbookViewId="0">
      <selection activeCell="N13" sqref="N13"/>
    </sheetView>
  </sheetViews>
  <sheetFormatPr defaultRowHeight="13.5"/>
  <cols>
    <col min="1" max="1" width="17" customWidth="1"/>
    <col min="2" max="2" width="25.125" customWidth="1"/>
    <col min="3" max="3" width="42.125" customWidth="1"/>
    <col min="6" max="6" width="16.25" customWidth="1"/>
    <col min="7" max="7" width="1.375" customWidth="1"/>
  </cols>
  <sheetData>
    <row r="1" spans="1:12" ht="14.25">
      <c r="A1" s="62" t="s">
        <v>8</v>
      </c>
      <c r="B1" s="134"/>
      <c r="C1" s="134"/>
      <c r="D1" s="134"/>
      <c r="E1" s="6"/>
      <c r="F1" s="6"/>
      <c r="G1" s="6"/>
      <c r="H1" s="6"/>
      <c r="I1" s="6"/>
      <c r="J1" s="99"/>
      <c r="K1" s="6"/>
      <c r="L1" s="7"/>
    </row>
    <row r="2" spans="1:12" ht="15" thickBot="1">
      <c r="A2" s="7"/>
      <c r="B2" s="135"/>
      <c r="C2" s="135"/>
      <c r="D2" s="135"/>
      <c r="E2" s="6"/>
      <c r="F2" s="6"/>
      <c r="G2" s="6"/>
      <c r="H2" s="6"/>
      <c r="I2" s="6"/>
      <c r="J2" s="99"/>
      <c r="K2" s="6"/>
      <c r="L2" s="7"/>
    </row>
    <row r="3" spans="1:12" ht="14.25">
      <c r="A3" s="63" t="s">
        <v>38</v>
      </c>
      <c r="B3" s="116" t="s">
        <v>68</v>
      </c>
      <c r="C3" s="116"/>
      <c r="D3" s="117"/>
      <c r="E3" s="66"/>
      <c r="F3" s="66"/>
      <c r="G3" s="66"/>
      <c r="H3" s="66"/>
      <c r="I3" s="144"/>
      <c r="J3" s="144"/>
      <c r="K3" s="144"/>
      <c r="L3" s="9"/>
    </row>
    <row r="4" spans="1:12" ht="25.5" customHeight="1">
      <c r="A4" s="68" t="s">
        <v>39</v>
      </c>
      <c r="B4" s="145" t="s">
        <v>76</v>
      </c>
      <c r="C4" s="146"/>
      <c r="D4" s="147"/>
      <c r="E4" s="66"/>
      <c r="F4" s="66"/>
      <c r="G4" s="66"/>
      <c r="H4" s="66"/>
      <c r="I4" s="144"/>
      <c r="J4" s="144"/>
      <c r="K4" s="144"/>
      <c r="L4" s="9"/>
    </row>
    <row r="5" spans="1:12">
      <c r="A5" s="68" t="s">
        <v>32</v>
      </c>
      <c r="B5" s="137" t="s">
        <v>57</v>
      </c>
      <c r="C5" s="138"/>
      <c r="D5" s="139"/>
      <c r="E5" s="75"/>
      <c r="F5" s="75"/>
      <c r="G5" s="75"/>
      <c r="H5" s="75"/>
      <c r="I5" s="143"/>
      <c r="J5" s="143"/>
      <c r="K5" s="143"/>
      <c r="L5" s="76"/>
    </row>
    <row r="6" spans="1:12" ht="14.25">
      <c r="A6" s="12" t="s">
        <v>40</v>
      </c>
      <c r="B6" s="88">
        <f>COUNTIF(J12:J20,"Pass")</f>
        <v>0</v>
      </c>
      <c r="C6" s="10" t="s">
        <v>41</v>
      </c>
      <c r="D6" s="13">
        <f>COUNTIF(J10:J739,"Pending")</f>
        <v>5</v>
      </c>
      <c r="E6" s="107"/>
      <c r="F6" s="107"/>
      <c r="G6" s="107"/>
      <c r="H6" s="107"/>
      <c r="I6" s="144"/>
      <c r="J6" s="144"/>
      <c r="K6" s="144"/>
      <c r="L6" s="9"/>
    </row>
    <row r="7" spans="1:12" ht="15" thickBot="1">
      <c r="A7" s="14" t="s">
        <v>6</v>
      </c>
      <c r="B7" s="89">
        <f>COUNTIF(J12:J20,"Fail")</f>
        <v>0</v>
      </c>
      <c r="C7" s="29" t="s">
        <v>31</v>
      </c>
      <c r="D7" s="64">
        <f>COUNTA(A12:A19)</f>
        <v>8</v>
      </c>
      <c r="E7" s="67"/>
      <c r="F7" s="67"/>
      <c r="G7" s="67"/>
      <c r="H7" s="67"/>
      <c r="I7" s="144"/>
      <c r="J7" s="144"/>
      <c r="K7" s="144"/>
      <c r="L7" s="9"/>
    </row>
    <row r="8" spans="1:12" ht="14.25">
      <c r="A8" s="136"/>
      <c r="B8" s="136"/>
      <c r="C8" s="136"/>
      <c r="D8" s="136"/>
      <c r="E8" s="107"/>
      <c r="F8" s="107"/>
      <c r="G8" s="107"/>
      <c r="H8" s="107"/>
      <c r="I8" s="107"/>
      <c r="J8" s="100"/>
      <c r="K8" s="100"/>
      <c r="L8" s="9"/>
    </row>
    <row r="9" spans="1:12" ht="15" customHeight="1">
      <c r="A9" s="119" t="s">
        <v>33</v>
      </c>
      <c r="B9" s="150" t="s">
        <v>9</v>
      </c>
      <c r="C9" s="119" t="s">
        <v>19</v>
      </c>
      <c r="D9" s="128" t="s">
        <v>64</v>
      </c>
      <c r="E9" s="129"/>
      <c r="F9" s="129"/>
      <c r="G9" s="130"/>
      <c r="H9" s="124" t="s">
        <v>65</v>
      </c>
      <c r="I9" s="118" t="s">
        <v>30</v>
      </c>
      <c r="J9" s="118" t="s">
        <v>66</v>
      </c>
      <c r="K9" s="118" t="s">
        <v>34</v>
      </c>
      <c r="L9" s="78"/>
    </row>
    <row r="10" spans="1:12" ht="14.25">
      <c r="A10" s="127"/>
      <c r="B10" s="151"/>
      <c r="C10" s="127"/>
      <c r="D10" s="131"/>
      <c r="E10" s="132"/>
      <c r="F10" s="132"/>
      <c r="G10" s="133"/>
      <c r="H10" s="119"/>
      <c r="I10" s="119"/>
      <c r="J10" s="119"/>
      <c r="K10" s="119"/>
      <c r="L10" s="9"/>
    </row>
    <row r="11" spans="1:12" ht="15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9"/>
      <c r="L11" s="80"/>
    </row>
    <row r="12" spans="1:12" ht="13.5" customHeight="1">
      <c r="A12" s="140" t="s">
        <v>67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2"/>
      <c r="L12" s="4"/>
    </row>
    <row r="13" spans="1:12" ht="72.75" customHeight="1">
      <c r="A13" s="84" t="s">
        <v>73</v>
      </c>
      <c r="B13" s="90" t="s">
        <v>69</v>
      </c>
      <c r="C13" s="83" t="s">
        <v>75</v>
      </c>
      <c r="D13" s="152" t="s">
        <v>70</v>
      </c>
      <c r="E13" s="153"/>
      <c r="F13" s="153"/>
      <c r="G13" s="114"/>
      <c r="H13" s="103"/>
      <c r="I13" s="96"/>
      <c r="J13" s="83" t="s">
        <v>41</v>
      </c>
      <c r="K13" s="81"/>
      <c r="L13" s="4"/>
    </row>
    <row r="14" spans="1:12" ht="72.75" customHeight="1">
      <c r="A14" s="84" t="s">
        <v>74</v>
      </c>
      <c r="B14" s="90" t="s">
        <v>77</v>
      </c>
      <c r="C14" s="111" t="s">
        <v>78</v>
      </c>
      <c r="D14" s="126" t="s">
        <v>79</v>
      </c>
      <c r="E14" s="125"/>
      <c r="F14" s="125"/>
      <c r="G14" s="82"/>
      <c r="H14" s="82"/>
      <c r="I14" s="113"/>
      <c r="J14" s="83" t="s">
        <v>41</v>
      </c>
      <c r="K14" s="81"/>
      <c r="L14" s="4"/>
    </row>
    <row r="15" spans="1:12" ht="13.5" customHeight="1">
      <c r="A15" s="140" t="s">
        <v>71</v>
      </c>
      <c r="B15" s="141"/>
      <c r="C15" s="141"/>
      <c r="D15" s="115"/>
      <c r="E15" s="115"/>
      <c r="F15" s="115"/>
      <c r="G15" s="115"/>
      <c r="H15" s="105"/>
      <c r="I15" s="105"/>
      <c r="J15" s="105"/>
      <c r="K15" s="106"/>
      <c r="L15" s="4"/>
    </row>
    <row r="16" spans="1:12" ht="71.25" customHeight="1">
      <c r="A16" s="84" t="s">
        <v>80</v>
      </c>
      <c r="B16" s="93" t="s">
        <v>89</v>
      </c>
      <c r="C16" s="93" t="s">
        <v>90</v>
      </c>
      <c r="D16" s="126" t="s">
        <v>91</v>
      </c>
      <c r="E16" s="125"/>
      <c r="F16" s="125"/>
      <c r="G16" s="82"/>
      <c r="H16" s="103"/>
      <c r="I16" s="104"/>
      <c r="J16" s="83" t="s">
        <v>41</v>
      </c>
      <c r="K16" s="81"/>
      <c r="L16" s="4"/>
    </row>
    <row r="17" spans="1:12" ht="13.5" customHeight="1">
      <c r="A17" s="140" t="s">
        <v>72</v>
      </c>
      <c r="B17" s="141"/>
      <c r="C17" s="141"/>
      <c r="D17" s="105"/>
      <c r="E17" s="105"/>
      <c r="F17" s="105"/>
      <c r="G17" s="105"/>
      <c r="H17" s="105"/>
      <c r="I17" s="105"/>
      <c r="J17" s="105"/>
      <c r="K17" s="106"/>
      <c r="L17" s="4"/>
    </row>
    <row r="18" spans="1:12" ht="71.25" customHeight="1">
      <c r="A18" s="84" t="s">
        <v>84</v>
      </c>
      <c r="B18" s="93" t="s">
        <v>83</v>
      </c>
      <c r="C18" s="93" t="s">
        <v>82</v>
      </c>
      <c r="D18" s="126" t="s">
        <v>81</v>
      </c>
      <c r="E18" s="125"/>
      <c r="F18" s="125"/>
      <c r="G18" s="82"/>
      <c r="H18" s="110"/>
      <c r="I18" s="111"/>
      <c r="J18" s="83" t="s">
        <v>41</v>
      </c>
      <c r="K18" s="81"/>
      <c r="L18" s="4"/>
    </row>
    <row r="19" spans="1:12" ht="71.25" customHeight="1">
      <c r="A19" s="112" t="s">
        <v>88</v>
      </c>
      <c r="B19" s="83" t="s">
        <v>85</v>
      </c>
      <c r="C19" s="83" t="s">
        <v>86</v>
      </c>
      <c r="D19" s="126" t="s">
        <v>87</v>
      </c>
      <c r="E19" s="125"/>
      <c r="F19" s="125"/>
      <c r="G19" s="82"/>
      <c r="H19" s="83"/>
      <c r="I19" s="83"/>
      <c r="J19" s="83" t="s">
        <v>41</v>
      </c>
      <c r="K19" s="81"/>
      <c r="L19" s="4"/>
    </row>
    <row r="21" spans="1:12" ht="14.25">
      <c r="J21" s="108"/>
      <c r="K21" s="109"/>
    </row>
  </sheetData>
  <mergeCells count="27">
    <mergeCell ref="D16:F16"/>
    <mergeCell ref="K9:K10"/>
    <mergeCell ref="A11:K11"/>
    <mergeCell ref="A12:K12"/>
    <mergeCell ref="D13:F13"/>
    <mergeCell ref="A15:C15"/>
    <mergeCell ref="B1:D2"/>
    <mergeCell ref="B3:D3"/>
    <mergeCell ref="I3:K3"/>
    <mergeCell ref="B4:D4"/>
    <mergeCell ref="I4:K4"/>
    <mergeCell ref="B5:D5"/>
    <mergeCell ref="I5:K5"/>
    <mergeCell ref="D14:F14"/>
    <mergeCell ref="D19:F19"/>
    <mergeCell ref="D18:F18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A17:C1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4" sqref="C4"/>
    </sheetView>
  </sheetViews>
  <sheetFormatPr defaultColWidth="8.875" defaultRowHeight="13.5"/>
  <cols>
    <col min="3" max="3" width="22.875" customWidth="1"/>
    <col min="7" max="7" width="18.875" customWidth="1"/>
  </cols>
  <sheetData>
    <row r="1" spans="1:7" ht="22.5">
      <c r="A1" s="15" t="s">
        <v>13</v>
      </c>
      <c r="B1" s="16"/>
      <c r="C1" s="17"/>
      <c r="D1" s="17"/>
      <c r="E1" s="17"/>
      <c r="F1" s="17"/>
      <c r="G1" s="18"/>
    </row>
    <row r="2" spans="1:7" ht="14.25" customHeight="1">
      <c r="A2" s="15"/>
      <c r="B2" s="16"/>
      <c r="C2" s="17"/>
      <c r="D2" s="17"/>
      <c r="E2" s="17"/>
      <c r="F2" s="17"/>
      <c r="G2" s="18"/>
    </row>
    <row r="3" spans="1:7" ht="14.25">
      <c r="B3" s="19" t="s">
        <v>12</v>
      </c>
      <c r="C3" s="17"/>
      <c r="D3" s="17"/>
      <c r="E3" s="17"/>
      <c r="F3" s="17"/>
      <c r="G3" s="18"/>
    </row>
    <row r="4" spans="1:7" ht="14.25">
      <c r="B4" s="19" t="s">
        <v>7</v>
      </c>
      <c r="C4" s="98"/>
      <c r="D4" s="19"/>
      <c r="E4" s="19"/>
      <c r="F4" s="19"/>
      <c r="G4" s="19"/>
    </row>
    <row r="5" spans="1:7" ht="14.25">
      <c r="A5" s="19"/>
      <c r="B5" s="19"/>
      <c r="C5" s="19"/>
      <c r="D5" s="19"/>
      <c r="E5" s="19"/>
      <c r="F5" s="19"/>
      <c r="G5" s="19"/>
    </row>
    <row r="6" spans="1:7" ht="14.25">
      <c r="A6" s="19"/>
      <c r="B6" s="19"/>
      <c r="C6" s="19"/>
      <c r="D6" s="19"/>
      <c r="E6" s="19"/>
      <c r="F6" s="19"/>
      <c r="G6" s="19"/>
    </row>
    <row r="7" spans="1:7" ht="14.25">
      <c r="A7" s="19"/>
      <c r="B7" s="53" t="s">
        <v>20</v>
      </c>
      <c r="C7" s="54" t="s">
        <v>21</v>
      </c>
      <c r="D7" s="55" t="s">
        <v>40</v>
      </c>
      <c r="E7" s="54" t="s">
        <v>6</v>
      </c>
      <c r="F7" s="54" t="s">
        <v>41</v>
      </c>
      <c r="G7" s="56" t="s">
        <v>22</v>
      </c>
    </row>
    <row r="8" spans="1:7" s="65" customFormat="1" ht="14.25">
      <c r="A8" s="69"/>
      <c r="B8" s="70">
        <v>1</v>
      </c>
      <c r="C8" s="71" t="str">
        <f>Samples!B4</f>
        <v>CR100 - Export to excel</v>
      </c>
      <c r="D8" s="72">
        <f>Samples!B6</f>
        <v>3</v>
      </c>
      <c r="E8" s="71">
        <f>Samples!B7</f>
        <v>0</v>
      </c>
      <c r="F8" s="71">
        <f>Samples!D6</f>
        <v>0</v>
      </c>
      <c r="G8" s="72">
        <f>Samples!D7</f>
        <v>-9</v>
      </c>
    </row>
    <row r="9" spans="1:7" ht="14.25">
      <c r="A9" s="19"/>
      <c r="B9" s="32"/>
      <c r="C9" s="31"/>
      <c r="D9" s="74"/>
      <c r="E9" s="30"/>
      <c r="F9" s="30"/>
      <c r="G9" s="33"/>
    </row>
    <row r="10" spans="1:7" ht="14.25">
      <c r="A10" s="19"/>
      <c r="B10" s="57"/>
      <c r="C10" s="58" t="s">
        <v>23</v>
      </c>
      <c r="D10" s="59">
        <f>SUM(D6:D9)</f>
        <v>3</v>
      </c>
      <c r="E10" s="59">
        <f>SUM(E6:E9)</f>
        <v>0</v>
      </c>
      <c r="F10" s="59">
        <f>SUM(F6:F9)</f>
        <v>0</v>
      </c>
      <c r="G10" s="60">
        <f>SUM(G6:G9)</f>
        <v>-9</v>
      </c>
    </row>
    <row r="11" spans="1:7" ht="14.25">
      <c r="A11" s="19"/>
      <c r="B11" s="20"/>
      <c r="C11" s="19"/>
      <c r="D11" s="21"/>
      <c r="E11" s="22"/>
      <c r="F11" s="22"/>
      <c r="G11" s="22"/>
    </row>
    <row r="12" spans="1:7" ht="14.25">
      <c r="A12" s="19"/>
      <c r="B12" s="19"/>
      <c r="C12" s="19" t="s">
        <v>24</v>
      </c>
      <c r="D12" s="19"/>
      <c r="E12" s="23">
        <f>(D10+E10)*100/G10</f>
        <v>-33.333333333333336</v>
      </c>
      <c r="F12" s="19" t="s">
        <v>25</v>
      </c>
      <c r="G12" s="24"/>
    </row>
    <row r="13" spans="1:7" ht="14.25">
      <c r="A13" s="19"/>
      <c r="B13" s="19"/>
      <c r="C13" s="19" t="s">
        <v>26</v>
      </c>
      <c r="D13" s="19"/>
      <c r="E13" s="23">
        <f>D10*100/G10</f>
        <v>-33.333333333333336</v>
      </c>
      <c r="F13" s="19" t="s">
        <v>25</v>
      </c>
      <c r="G13" s="24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Samples</vt:lpstr>
      <vt:lpstr>Cancel booking</vt:lpstr>
      <vt:lpstr>Test Report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OliverFang™</cp:lastModifiedBy>
  <cp:lastPrinted>2006-08-02T10:15:15Z</cp:lastPrinted>
  <dcterms:created xsi:type="dcterms:W3CDTF">2002-07-27T17:17:25Z</dcterms:created>
  <dcterms:modified xsi:type="dcterms:W3CDTF">2026-04-12T14:06:31Z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
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07" l="1"/>
  <c r="E18" i="107"/>
  <c r="D7" i="129" l="1"/>
  <c r="G9" i="107" s="1"/>
  <c r="D7" i="130"/>
  <c r="D7" i="128"/>
  <c r="D7" i="124"/>
  <c r="G11" i="107" s="1"/>
  <c r="D7" i="123"/>
  <c r="D16" i="107"/>
  <c r="E16" i="107"/>
  <c r="F16" i="107"/>
  <c r="G15" i="107"/>
  <c r="G14" i="107"/>
  <c r="G13" i="107"/>
  <c r="G12" i="107"/>
  <c r="G10" i="107"/>
  <c r="G8" i="107"/>
  <c r="D8" i="107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3" i="107"/>
  <c r="E12" i="107"/>
  <c r="E11" i="107"/>
  <c r="F10" i="107"/>
  <c r="F11" i="107"/>
  <c r="F12" i="107"/>
  <c r="F13" i="107"/>
  <c r="F14" i="107"/>
  <c r="F15" i="107"/>
  <c r="F8" i="107"/>
  <c r="F9" i="107"/>
  <c r="E35" i="107"/>
  <c r="D35" i="107"/>
  <c r="D7" i="122"/>
  <c r="B7" i="122"/>
  <c r="D6" i="122"/>
  <c r="B6" i="122"/>
  <c r="B7" i="129"/>
  <c r="D6" i="129"/>
  <c r="B6" i="129"/>
  <c r="D7" i="126"/>
  <c r="B7" i="126"/>
  <c r="D6" i="126"/>
  <c r="B6" i="126"/>
  <c r="B7" i="130"/>
  <c r="D6" i="130"/>
  <c r="B6" i="130"/>
  <c r="B7" i="128"/>
  <c r="D6" i="128"/>
  <c r="B6" i="128"/>
  <c r="B7" i="123"/>
  <c r="D6" i="123"/>
  <c r="B6" i="123"/>
  <c r="G16" i="107" l="1"/>
</calcChain>
</file>

<file path=xl/sharedStrings.xml><?xml version="1.0" encoding="utf-8"?>
<sst xmlns="http://schemas.openxmlformats.org/spreadsheetml/2006/main" count="977" uniqueCount="586">
  <si>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</si>
  <si>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</si>
  <si>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</si>
  <si>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</si>
  <si>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</si>
  <si>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</si>
  <si>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</si>
  <si>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</si>
  <si>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</si>
  <si>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</si>
  <si>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</si>
  <si>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</si>
  <si>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</si>
  <si>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</si>
  <si>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</si>
  <si>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</si>
  <si>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</si>
  <si>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</si>
  <si>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</si>
  <si>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</si>
  <si>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</si>
  <si>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</si>
  <si>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</si>
  <si>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</si>
  <si>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</si>
  <si>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</si>
  <si>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</si>
  <si>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</si>
  <si>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</si>
  <si>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</si>
  <si>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</si>
  <si>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</si>
  <si>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</si>
  <si>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</si>
  <si>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</si>
  <si>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</si>
  <si>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</si>
  <si>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</si>
  <si>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</si>
  <si>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</si>
  <si>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</si>
  <si>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</si>
  <si>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</si>
  <si>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</si>
  <si>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</si>
  <si>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</si>
  <si>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</si>
  <si>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</si>
  <si>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</si>
  <si>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</si>
  <si>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</si>
  <si>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</si>
  <si>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</si>
  <si>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</si>
  <si>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</si>
  <si>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</si>
  <si>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</si>
  <si>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</si>
  <si>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</si>
  <si>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</si>
  <si>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</si>
  <si>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</si>
  <si>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</si>
  <si>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</si>
  <si>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</si>
  <si>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</si>
  <si>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</si>
  <si>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</si>
  <si>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</si>
  <si>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</si>
  <si>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</si>
  <si>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</si>
  <si>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</si>
  <si>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</si>
  <si>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</si>
  <si>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</si>
  <si>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</si>
  <si>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</si>
  <si>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</si>
  <si>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</si>
  <si>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</si>
  <si>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</si>
  <si>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</si>
  <si>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</si>
  <si>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</si>
  <si>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</si>
  <si>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</si>
  <si>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</si>
  <si>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</si>
  <si>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</si>
  <si>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</si>
  <si>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</si>
  <si>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</si>
  <si>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</si>
  <si>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</si>
  <si>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</si>
  <si>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</si>
  <si>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</si>
  <si>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</si>
  <si>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</si>
  <si>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</si>
  <si>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</si>
  <si>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</si>
  <si>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</si>
  <si>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</si>
  <si>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</si>
  <si>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</si>
  <si>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</si>
  <si>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</si>
  <si>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</si>
  <si>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</si>
  <si>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</si>
  <si>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</si>
  <si>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</si>
  <si>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</si>
  <si>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</si>
  <si>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</si>
  <si>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</si>
  <si>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</si>
  <si>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</si>
  <si>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</si>
  <si>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</si>
  <si>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</si>
  <si>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</si>
  <si>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</si>
  <si>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</si>
  <si>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</si>
  <si>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</si>
  <si>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</si>
  <si>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</si>
  <si>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</si>
  <si>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</si>
  <si>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</si>
  <si>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</si>
  <si>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</si>
  <si>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</si>
  <si>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</si>
  <si>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</si>
  <si>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</si>
  <si>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</si>
  <si>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</si>
  <si>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</si>
  <si>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</si>
  <si>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</si>
  <si>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</si>
  <si>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</si>
  <si>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</si>
  <si>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</si>
  <si>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</si>
  <si>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</si>
  <si>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</si>
  <si>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</si>
  <si>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</si>
  <si>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</si>
  <si>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</si>
  <si>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</si>
  <si>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</si>
  <si>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</si>
  <si>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</si>
  <si>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</si>
  <si>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</si>
  <si>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</si>
  <si>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</si>
  <si>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</si>
  <si>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</si>
  <si>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</si>
  <si>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</si>
  <si>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</si>
  <si>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</si>
  <si>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</si>
  <si>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</si>
  <si>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</si>
  <si>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</si>
  <si>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</si>
  <si>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</si>
  <si>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</si>
  <si>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</si>
  <si>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</si>
  <si>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</si>
  <si>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</si>
  <si>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</si>
  <si>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</si>
  <si>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</si>
  <si>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</si>
  <si>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</si>
  <si>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</si>
  <si>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</si>
  <si>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</si>
  <si>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</si>
  <si>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</si>
  <si>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</si>
  <si>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</si>
  <si>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</si>
  <si>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</si>
  <si>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</si>
  <si>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</si>
  <si>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</si>
  <si>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</si>
  <si>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</si>
  <si>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</si>
  <si>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</si>
  <si>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</si>
  <si>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</si>
  <si>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</si>
  <si>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</si>
  <si>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</si>
  <si>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</si>
  <si>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</si>
  <si>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</si>
  <si>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</si>
  <si>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</si>
  <si>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</si>
  <si>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</si>
  <si>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</si>
  <si>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</si>
  <si>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</si>
  <si>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</si>
  <si>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</si>
  <si>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</si>
  <si>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</si>
  <si>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</si>
  <si>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</si>
  <si>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</si>
  <si>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</si>
  <si>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</si>
  <si>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</si>
  <si>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</si>
  <si>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</si>
  <si>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</si>
  <si>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</si>
  <si>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</si>
  <si>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</si>
  <si>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</si>
  <si>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</si>
  <si>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</si>
  <si>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</si>
  <si>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</si>
  <si>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</si>
  <si>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</si>
  <si>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</si>
  <si>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</si>
  <si>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</si>
  <si>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</si>
  <si>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</si>
  <si>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</si>
  <si>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</si>
  <si>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</si>
  <si>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</si>
  <si>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</si>
  <si>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</si>
  <si>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</si>
  <si>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</si>
  <si>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</si>
  <si>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</si>
  <si>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</si>
  <si>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</si>
  <si>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</si>
  <si>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</si>
  <si>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</si>
  <si>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</si>
  <si>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</si>
  <si>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</si>
  <si>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</si>
  <si>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</si>
  <si>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</si>
  <si>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</si>
  <si>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</si>
  <si>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</si>
  <si>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</si>
  <si>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</si>
  <si>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</si>
  <si>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</si>
  <si>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</si>
  <si>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</si>
  <si>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</si>
  <si>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</si>
  <si>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</si>
  <si>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</si>
  <si>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</si>
  <si>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</si>
  <si>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</si>
  <si>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</si>
  <si>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</si>
  <si>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</si>
  <si>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</si>
  <si>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</si>
  <si>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</si>
  <si>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</si>
  <si>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</si>
  <si>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</si>
  <si>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</si>
  <si>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</si>
  <si>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</si>
  <si>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</si>
  <si>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</si>
  <si>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</si>
  <si>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</si>
  <si>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</si>
  <si>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</si>
  <si>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</si>
  <si>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</si>
  <si>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</si>
  <si>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</si>
  <si>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</si>
  <si>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</si>
  <si>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</si>
  <si>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</si>
  <si>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</si>
  <si>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</si>
  <si>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</si>
  <si>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</si>
  <si>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</si>
  <si>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</si>
  <si>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</si>
  <si>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</si>
  <si>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</si>
  <si>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</si>
  <si>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</si>
  <si>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</si>
  <si>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</si>
  <si>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</si>
  <si>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</si>
  <si>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</si>
  <si>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</si>
  <si>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</si>
  <si>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</si>
  <si>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</si>
  <si>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</si>
  <si>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</si>
  <si>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</si>
  <si>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</si>
  <si>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</si>
  <si>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</si>
  <si>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</si>
  <si>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</si>
  <si>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</si>
  <si>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</si>
  <si>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</si>
  <si>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</si>
  <si>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</si>
  <si>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</si>
  <si>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</si>
  <si>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</si>
  <si>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</si>
  <si>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</si>
  <si>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</si>
  <si>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</si>
  <si>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</si>
  <si>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</si>
  <si>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</si>
  <si>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</si>
  <si>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</si>
  <si>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</si>
  <si>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</si>
  <si>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</si>
  <si>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</si>
  <si>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</si>
  <si>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</si>
  <si>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</si>
  <si>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</si>
  <si>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</si>
  <si>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</si>
  <si>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</si>
  <si>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</si>
  <si>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</si>
  <si>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</si>
  <si>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</si>
  <si>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</si>
  <si>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</si>
  <si>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</si>
  <si>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</si>
  <si>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</si>
  <si>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</si>
  <si>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</si>
  <si>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</si>
  <si>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</si>
  <si>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</si>
  <si>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</si>
  <si>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</si>
  <si>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</si>
  <si>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</si>
  <si>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</si>
  <si>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</si>
  <si>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</si>
  <si>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</si>
  <si>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</si>
  <si>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</si>
  <si>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</si>
  <si>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</si>
  <si>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</si>
  <si>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</si>
  <si>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</si>
  <si>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</si>
  <si>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</si>
  <si>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</si>
  <si>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</si>
  <si>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</si>
  <si>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</si>
  <si>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</si>
  <si>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</si>
  <si>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</si>
  <si>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</si>
  <si>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</si>
  <si>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</si>
  <si>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</si>
  <si>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</si>
  <si>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</si>
  <si>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</si>
  <si>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</si>
  <si>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</si>
  <si>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</si>
  <si>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</si>
  <si>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</si>
  <si>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</si>
  <si>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</si>
  <si>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</si>
  <si>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</si>
  <si>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</si>
  <si>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</si>
  <si>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</si>
  <si>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</si>
  <si>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</si>
  <si>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</si>
  <si>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</si>
  <si>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</si>
  <si>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</si>
  <si>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</si>
  <si>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</si>
  <si>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</si>
  <si>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</si>
  <si>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</si>
  <si>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</si>
  <si>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</si>
  <si>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</si>
  <si>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</si>
  <si>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</si>
  <si>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</si>
  <si>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</si>
  <si>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</si>
  <si>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</si>
  <si>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</si>
  <si>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</si>
  <si>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</si>
  <si>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</si>
  <si>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</si>
  <si>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</si>
  <si>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</si>
  <si>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</si>
  <si>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</si>
  <si>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</si>
  <si>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</si>
  <si>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</si>
  <si>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</si>
  <si>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</si>
  <si>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</si>
  <si>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</si>
  <si>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</si>
  <si>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</si>
  <si>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</si>
  <si>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</si>
  <si>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</si>
  <si>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</si>
  <si>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</si>
  <si>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</si>
  <si>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</si>
  <si>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</si>
  <si>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</si>
  <si>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</si>
  <si>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</si>
  <si>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</si>
  <si>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</si>
  <si>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</si>
  <si>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</si>
  <si>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</si>
  <si>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</si>
  <si>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</si>
  <si>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</si>
  <si>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</si>
  <si>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</si>
  <si>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</si>
  <si>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</si>
  <si>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</si>
  <si>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</si>
  <si>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</si>
  <si>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</si>
  <si>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</si>
  <si>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</si>
  <si>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</si>
  <si>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</si>
  <si>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</si>
  <si>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</si>
  <si>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</si>
  <si>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</si>
  <si>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</si>
  <si>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</si>
  <si>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</si>
  <si>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</si>
  <si>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</si>
  <si>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</si>
  <si>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</si>
  <si>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</si>
  <si>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</si>
  <si>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</si>
  <si>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</si>
  <si>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</si>
  <si>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</si>
  <si>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</si>
  <si>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</si>
  <si>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</si>
  <si>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</si>
  <si>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</si>
  <si>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</si>
  <si>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</si>
  <si>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</si>
  <si>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</si>
  <si>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</si>
  <si>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</si>
  <si>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</si>
  <si>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</si>
  <si>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</si>
  <si>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</si>
  <si>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</si>
  <si>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</si>
  <si>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</si>
  <si>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</si>
  <si>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</si>
  <si>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</si>
  <si>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</si>
  <si>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</si>
  <si>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</si>
  <si>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</si>
  <si>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</si>
  <si>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</si>
  <si>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</si>
  <si>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</si>
  <si>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</si>
  <si>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</si>
  <si>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</si>
  <si>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</si>
  <si>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</si>
  <si>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</si>
  <si>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</si>
  <si>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</si>
  <si>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</si>
  <si>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</si>
  <si>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</si>
  <si>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</si>
  <si>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</si>
  <si>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</si>
  <si>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</si>
  <si>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</si>
  <si>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</si>
  <si>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</si>
  <si>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</si>
  <si>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</si>
  <si>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</si>
  <si>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</si>
  <si>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</si>
  <si>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</si>
  <si>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</si>
  <si>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</si>
  <si>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</si>
  <si>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</si>
  <si>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</si>
  <si>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</si>
  <si>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</si>
  <si>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</si>
  <si>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</si>
  <si>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</si>
  <si>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</si>
  <si>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</si>
  <si>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28/4/2026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</si>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</sst>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8" formatCode="[$-409]d\-mmm\-yy;@"/>
    <numFmt numFmtId="169" formatCode="0.000"/>
    <numFmt numFmtId="170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64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55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8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8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6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4" xfId="0" applyFont="1" applyFill="1" applyBorder="1" applyAlignment="1">
      <alignment horizontal="left" vertical="top" wrapText="1"/>
    </xf>
    <xf numFmtId="0" fontId="9" fillId="5" borderId="17" xfId="0" applyFont="1" applyFill="1" applyBorder="1" applyAlignment="1">
      <alignment horizontal="center" vertical="center" wrapText="1"/>
    </xf>
    <xf numFmtId="9" fontId="9" fillId="5" borderId="18" xfId="0" applyNumberFormat="1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9" fontId="9" fillId="3" borderId="18" xfId="0" applyNumberFormat="1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top" wrapText="1"/>
    </xf>
    <xf numFmtId="0" fontId="8" fillId="3" borderId="23" xfId="0" applyFont="1" applyFill="1" applyBorder="1" applyAlignment="1">
      <alignment horizontal="left" vertical="top" wrapText="1"/>
    </xf>
    <xf numFmtId="0" fontId="10" fillId="2" borderId="24" xfId="0" applyFont="1" applyFill="1" applyBorder="1" applyAlignment="1">
      <alignment horizontal="center"/>
    </xf>
    <xf numFmtId="0" fontId="11" fillId="2" borderId="25" xfId="0" applyFont="1" applyFill="1" applyBorder="1"/>
    <xf numFmtId="0" fontId="10" fillId="2" borderId="26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7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8" fontId="3" fillId="0" borderId="0" xfId="3" applyNumberFormat="1" applyFont="1"/>
    <xf numFmtId="168" fontId="3" fillId="0" borderId="29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5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8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8" xfId="0" applyFont="1" applyFill="1" applyBorder="1" applyAlignment="1">
      <alignment horizontal="right"/>
    </xf>
    <xf numFmtId="0" fontId="13" fillId="6" borderId="42" xfId="0" applyFont="1" applyFill="1" applyBorder="1" applyAlignment="1">
      <alignment wrapText="1"/>
    </xf>
    <xf numFmtId="0" fontId="13" fillId="6" borderId="42" xfId="0" applyFont="1" applyFill="1" applyBorder="1" applyAlignment="1">
      <alignment horizontal="center"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right"/>
    </xf>
    <xf numFmtId="0" fontId="13" fillId="6" borderId="45" xfId="0" applyFont="1" applyFill="1" applyBorder="1" applyAlignment="1">
      <alignment wrapText="1"/>
    </xf>
    <xf numFmtId="0" fontId="13" fillId="0" borderId="45" xfId="0" applyFont="1" applyBorder="1" applyAlignment="1">
      <alignment horizontal="center"/>
    </xf>
    <xf numFmtId="1" fontId="13" fillId="6" borderId="46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169" fontId="13" fillId="0" borderId="42" xfId="0" applyNumberFormat="1" applyFont="1" applyBorder="1" applyAlignment="1">
      <alignment horizontal="left" vertical="top" wrapText="1"/>
    </xf>
    <xf numFmtId="0" fontId="13" fillId="0" borderId="42" xfId="0" applyFont="1" applyBorder="1" applyAlignment="1">
      <alignment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9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center" vertical="top" wrapText="1"/>
    </xf>
    <xf numFmtId="0" fontId="13" fillId="0" borderId="53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4" xfId="0" applyFont="1" applyFill="1" applyBorder="1" applyAlignment="1">
      <alignment wrapText="1"/>
    </xf>
    <xf numFmtId="0" fontId="20" fillId="0" borderId="42" xfId="4" applyFont="1" applyBorder="1" applyAlignment="1">
      <alignment horizontal="left" vertical="top" wrapText="1"/>
    </xf>
    <xf numFmtId="0" fontId="18" fillId="0" borderId="42" xfId="4" applyFont="1" applyBorder="1" applyAlignment="1">
      <alignment horizontal="left" vertical="center" wrapText="1"/>
    </xf>
    <xf numFmtId="0" fontId="13" fillId="0" borderId="42" xfId="4" applyFont="1" applyBorder="1" applyAlignment="1">
      <alignment horizontal="left" vertical="center" wrapText="1"/>
    </xf>
    <xf numFmtId="0" fontId="14" fillId="6" borderId="34" xfId="0" applyFont="1" applyFill="1" applyBorder="1" applyAlignment="1">
      <alignment wrapText="1"/>
    </xf>
    <xf numFmtId="0" fontId="2" fillId="6" borderId="35" xfId="4" applyFont="1" applyFill="1" applyBorder="1" applyAlignment="1">
      <alignment horizontal="left" vertical="top" wrapText="1"/>
    </xf>
    <xf numFmtId="0" fontId="2" fillId="6" borderId="38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9" fontId="13" fillId="0" borderId="42" xfId="0" applyNumberFormat="1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9" fillId="0" borderId="39" xfId="0" applyFont="1" applyBorder="1" applyAlignment="1">
      <alignment vertical="top" wrapText="1"/>
    </xf>
    <xf numFmtId="0" fontId="18" fillId="9" borderId="40" xfId="4" applyFont="1" applyFill="1" applyBorder="1" applyAlignment="1">
      <alignment vertical="center" wrapText="1"/>
    </xf>
    <xf numFmtId="0" fontId="18" fillId="9" borderId="56" xfId="4" applyFont="1" applyFill="1" applyBorder="1" applyAlignment="1">
      <alignment vertical="center" wrapText="1"/>
    </xf>
    <xf numFmtId="0" fontId="13" fillId="0" borderId="53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9" fontId="13" fillId="12" borderId="42" xfId="0" applyNumberFormat="1" applyFont="1" applyFill="1" applyBorder="1" applyAlignment="1">
      <alignment horizontal="left" vertical="top" wrapText="1"/>
    </xf>
    <xf numFmtId="0" fontId="13" fillId="12" borderId="42" xfId="0" applyFont="1" applyFill="1" applyBorder="1" applyAlignment="1">
      <alignment horizontal="center" vertical="top" wrapText="1"/>
    </xf>
    <xf numFmtId="0" fontId="13" fillId="12" borderId="42" xfId="0" applyFont="1" applyFill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9" fillId="0" borderId="42" xfId="0" applyFont="1" applyBorder="1" applyAlignment="1">
      <alignment horizontal="left" vertical="top" wrapText="1"/>
    </xf>
    <xf numFmtId="0" fontId="18" fillId="9" borderId="48" xfId="4" applyFont="1" applyFill="1" applyBorder="1" applyAlignment="1">
      <alignment horizontal="left" vertical="center" wrapText="1"/>
    </xf>
    <xf numFmtId="0" fontId="13" fillId="12" borderId="53" xfId="0" applyFont="1" applyFill="1" applyBorder="1" applyAlignment="1">
      <alignment horizontal="left" vertical="top" wrapText="1"/>
    </xf>
    <xf numFmtId="169" fontId="13" fillId="0" borderId="39" xfId="0" applyNumberFormat="1" applyFont="1" applyBorder="1" applyAlignment="1">
      <alignment horizontal="left" vertical="top" wrapText="1"/>
    </xf>
    <xf numFmtId="169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2" xfId="0" applyFont="1" applyFill="1" applyBorder="1" applyAlignment="1">
      <alignment horizontal="left" vertical="top" wrapText="1"/>
    </xf>
    <xf numFmtId="169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9" fontId="13" fillId="0" borderId="53" xfId="0" applyNumberFormat="1" applyFont="1" applyBorder="1" applyAlignment="1">
      <alignment horizontal="left" vertical="top" wrapText="1"/>
    </xf>
    <xf numFmtId="0" fontId="29" fillId="0" borderId="42" xfId="0" applyFont="1" applyBorder="1"/>
    <xf numFmtId="0" fontId="13" fillId="0" borderId="42" xfId="4" applyFont="1" applyFill="1" applyBorder="1" applyAlignment="1">
      <alignment horizontal="left" vertical="top" wrapText="1"/>
    </xf>
    <xf numFmtId="0" fontId="13" fillId="0" borderId="42" xfId="4" applyFont="1" applyFill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70" fontId="32" fillId="0" borderId="0" xfId="0" applyNumberFormat="1" applyFont="1"/>
    <xf numFmtId="170" fontId="31" fillId="0" borderId="0" xfId="0" applyNumberFormat="1" applyFont="1"/>
    <xf numFmtId="0" fontId="31" fillId="6" borderId="0" xfId="0" applyFont="1" applyFill="1"/>
    <xf numFmtId="170" fontId="33" fillId="6" borderId="0" xfId="0" applyNumberFormat="1" applyFont="1" applyFill="1"/>
    <xf numFmtId="170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61" xfId="2" applyFont="1" applyBorder="1"/>
    <xf numFmtId="170" fontId="37" fillId="0" borderId="0" xfId="0" applyNumberFormat="1" applyFont="1"/>
    <xf numFmtId="0" fontId="38" fillId="0" borderId="0" xfId="0" applyFont="1"/>
    <xf numFmtId="170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2" xfId="0" applyFont="1" applyFill="1" applyBorder="1" applyAlignment="1">
      <alignment horizontal="center" vertical="center"/>
    </xf>
    <xf numFmtId="170" fontId="40" fillId="12" borderId="61" xfId="2" applyNumberFormat="1" applyFont="1" applyFill="1" applyBorder="1" applyAlignment="1">
      <alignment horizontal="center" vertical="center" wrapText="1"/>
    </xf>
    <xf numFmtId="0" fontId="40" fillId="12" borderId="61" xfId="2" applyFont="1" applyFill="1" applyBorder="1" applyAlignment="1">
      <alignment horizontal="center" vertical="center" wrapText="1"/>
    </xf>
    <xf numFmtId="0" fontId="40" fillId="12" borderId="61" xfId="0" applyFont="1" applyFill="1" applyBorder="1" applyAlignment="1">
      <alignment horizontal="center" vertical="center" wrapText="1"/>
    </xf>
    <xf numFmtId="170" fontId="40" fillId="12" borderId="63" xfId="2" applyNumberFormat="1" applyFont="1" applyFill="1" applyBorder="1" applyAlignment="1">
      <alignment horizontal="center" vertical="center" wrapText="1"/>
    </xf>
    <xf numFmtId="0" fontId="40" fillId="12" borderId="63" xfId="2" applyFont="1" applyFill="1" applyBorder="1" applyAlignment="1">
      <alignment horizontal="center" vertical="center" wrapText="1"/>
    </xf>
    <xf numFmtId="0" fontId="40" fillId="12" borderId="63" xfId="0" applyFont="1" applyFill="1" applyBorder="1" applyAlignment="1">
      <alignment horizontal="center" vertical="center" wrapText="1"/>
    </xf>
    <xf numFmtId="170" fontId="40" fillId="0" borderId="42" xfId="0" applyNumberFormat="1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3" fillId="6" borderId="36" xfId="4" applyFont="1" applyFill="1" applyBorder="1" applyAlignment="1">
      <alignment horizontal="left" wrapText="1"/>
    </xf>
    <xf numFmtId="0" fontId="3" fillId="6" borderId="37" xfId="4" applyFont="1" applyFill="1" applyBorder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3" fillId="6" borderId="39" xfId="4" applyFont="1" applyFill="1" applyBorder="1" applyAlignment="1">
      <alignment horizontal="left" vertical="top" wrapText="1"/>
    </xf>
    <xf numFmtId="0" fontId="3" fillId="6" borderId="40" xfId="4" applyFont="1" applyFill="1" applyBorder="1" applyAlignment="1">
      <alignment horizontal="left" vertical="top" wrapText="1"/>
    </xf>
    <xf numFmtId="0" fontId="3" fillId="6" borderId="41" xfId="4" applyFont="1" applyFill="1" applyBorder="1" applyAlignment="1">
      <alignment horizontal="left" vertical="top" wrapText="1"/>
    </xf>
    <xf numFmtId="0" fontId="3" fillId="6" borderId="39" xfId="4" applyFont="1" applyFill="1" applyBorder="1" applyAlignment="1">
      <alignment horizontal="left" vertical="center" wrapText="1"/>
    </xf>
    <xf numFmtId="0" fontId="3" fillId="6" borderId="40" xfId="4" applyFont="1" applyFill="1" applyBorder="1" applyAlignment="1">
      <alignment horizontal="left" vertical="center" wrapText="1"/>
    </xf>
    <xf numFmtId="0" fontId="3" fillId="6" borderId="41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6" borderId="47" xfId="0" applyFont="1" applyFill="1" applyBorder="1" applyAlignment="1">
      <alignment horizontal="center"/>
    </xf>
    <xf numFmtId="0" fontId="17" fillId="8" borderId="40" xfId="0" applyFont="1" applyFill="1" applyBorder="1" applyAlignment="1">
      <alignment horizontal="left" vertical="center"/>
    </xf>
    <xf numFmtId="0" fontId="17" fillId="8" borderId="56" xfId="0" applyFont="1" applyFill="1" applyBorder="1" applyAlignment="1">
      <alignment horizontal="left" vertical="center"/>
    </xf>
    <xf numFmtId="0" fontId="18" fillId="9" borderId="39" xfId="4" applyFont="1" applyFill="1" applyBorder="1" applyAlignment="1">
      <alignment horizontal="left" vertical="center" wrapText="1"/>
    </xf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0" fontId="20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20" fillId="0" borderId="39" xfId="4" applyFont="1" applyBorder="1" applyAlignment="1">
      <alignment horizontal="left" vertical="top" wrapText="1"/>
    </xf>
    <xf numFmtId="0" fontId="18" fillId="0" borderId="40" xfId="4" applyFont="1" applyBorder="1" applyAlignment="1">
      <alignment horizontal="left" vertical="top" wrapText="1"/>
    </xf>
    <xf numFmtId="0" fontId="18" fillId="0" borderId="56" xfId="4" applyFont="1" applyBorder="1" applyAlignment="1">
      <alignment horizontal="left" vertical="top" wrapText="1"/>
    </xf>
    <xf numFmtId="0" fontId="20" fillId="0" borderId="40" xfId="0" applyFont="1" applyBorder="1" applyAlignment="1">
      <alignment horizontal="left" vertical="top" wrapText="1"/>
    </xf>
    <xf numFmtId="0" fontId="20" fillId="0" borderId="56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30" fillId="9" borderId="58" xfId="4" applyFont="1" applyFill="1" applyBorder="1" applyAlignment="1">
      <alignment horizontal="left" vertical="center" wrapText="1"/>
    </xf>
    <xf numFmtId="0" fontId="13" fillId="9" borderId="59" xfId="4" applyFont="1" applyFill="1" applyBorder="1" applyAlignment="1">
      <alignment horizontal="left" vertical="center" wrapText="1"/>
    </xf>
    <xf numFmtId="0" fontId="13" fillId="9" borderId="60" xfId="4" applyFont="1" applyFill="1" applyBorder="1" applyAlignment="1">
      <alignment horizontal="left" vertical="center" wrapText="1"/>
    </xf>
    <xf numFmtId="0" fontId="20" fillId="0" borderId="42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4" applyFont="1" applyFill="1" applyBorder="1" applyAlignment="1">
      <alignment horizontal="left" vertical="top" wrapText="1"/>
    </xf>
    <xf numFmtId="0" fontId="13" fillId="0" borderId="40" xfId="4" applyFont="1" applyFill="1" applyBorder="1" applyAlignment="1">
      <alignment horizontal="left" vertical="top" wrapText="1"/>
    </xf>
    <xf numFmtId="0" fontId="13" fillId="0" borderId="56" xfId="4" applyFont="1" applyFill="1" applyBorder="1" applyAlignment="1">
      <alignment horizontal="left" vertical="top" wrapText="1"/>
    </xf>
    <xf numFmtId="0" fontId="20" fillId="0" borderId="53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2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vertical="center" wrapText="1"/>
    </xf>
    <xf numFmtId="0" fontId="11" fillId="7" borderId="42" xfId="4" applyFont="1" applyFill="1" applyBorder="1" applyAlignment="1">
      <alignment vertical="center" wrapText="1"/>
    </xf>
    <xf numFmtId="0" fontId="11" fillId="7" borderId="52" xfId="4" applyFont="1" applyFill="1" applyBorder="1" applyAlignment="1">
      <alignment horizontal="center" vertical="center" wrapText="1"/>
    </xf>
    <xf numFmtId="0" fontId="11" fillId="7" borderId="53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11" fillId="7" borderId="54" xfId="4" applyFont="1" applyFill="1" applyBorder="1" applyAlignment="1">
      <alignment horizontal="center"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55" xfId="4" applyFont="1" applyFill="1" applyBorder="1" applyAlignment="1">
      <alignment horizontal="center" vertical="center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8" xfId="0" applyFont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8" fillId="9" borderId="40" xfId="4" applyFont="1" applyFill="1" applyBorder="1" applyAlignment="1">
      <alignment horizontal="center" vertical="center" wrapText="1"/>
    </xf>
    <xf numFmtId="0" fontId="25" fillId="9" borderId="39" xfId="4" applyFont="1" applyFill="1" applyBorder="1" applyAlignment="1">
      <alignment horizontal="left" vertical="center" wrapText="1"/>
    </xf>
    <xf numFmtId="0" fontId="25" fillId="9" borderId="40" xfId="4" applyFont="1" applyFill="1" applyBorder="1" applyAlignment="1">
      <alignment horizontal="left" vertical="center" wrapText="1"/>
    </xf>
    <xf numFmtId="0" fontId="25" fillId="9" borderId="56" xfId="4" applyFont="1" applyFill="1" applyBorder="1" applyAlignment="1">
      <alignment horizontal="left" vertical="center" wrapText="1"/>
    </xf>
    <xf numFmtId="0" fontId="23" fillId="9" borderId="39" xfId="4" applyFont="1" applyFill="1" applyBorder="1" applyAlignment="1">
      <alignment horizontal="left" vertical="center" wrapText="1"/>
    </xf>
    <xf numFmtId="0" fontId="18" fillId="0" borderId="39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24" fillId="9" borderId="40" xfId="4" applyFont="1" applyFill="1" applyBorder="1" applyAlignment="1">
      <alignment horizontal="left" vertical="center" wrapText="1"/>
    </xf>
    <xf numFmtId="0" fontId="24" fillId="9" borderId="56" xfId="4" applyFont="1" applyFill="1" applyBorder="1" applyAlignment="1">
      <alignment horizontal="left" vertical="center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8" fillId="9" borderId="39" xfId="4" applyFont="1" applyFill="1" applyBorder="1" applyAlignment="1">
      <alignment vertical="center" wrapText="1"/>
    </xf>
    <xf numFmtId="0" fontId="18" fillId="9" borderId="40" xfId="4" applyFont="1" applyFill="1" applyBorder="1" applyAlignment="1">
      <alignment vertical="center" wrapText="1"/>
    </xf>
    <xf numFmtId="0" fontId="18" fillId="0" borderId="40" xfId="0" applyFont="1" applyBorder="1" applyAlignment="1">
      <alignment vertical="top" wrapText="1"/>
    </xf>
    <xf numFmtId="0" fontId="21" fillId="9" borderId="39" xfId="4" applyFont="1" applyFill="1" applyBorder="1" applyAlignment="1">
      <alignment horizontal="left" vertical="center" wrapText="1"/>
    </xf>
    <xf numFmtId="0" fontId="13" fillId="6" borderId="57" xfId="0" applyFont="1" applyFill="1" applyBorder="1" applyAlignment="1">
      <alignment horizontal="center"/>
    </xf>
    <xf numFmtId="0" fontId="18" fillId="9" borderId="39" xfId="4" applyFont="1" applyFill="1" applyBorder="1" applyAlignment="1">
      <alignment horizontal="center" vertical="center" wrapText="1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1" fillId="2" borderId="30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10" fillId="2" borderId="33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9" fontId="8" fillId="3" borderId="0" xfId="0" applyNumberFormat="1" applyFont="1" applyFill="1" applyBorder="1" applyAlignment="1">
      <alignment horizontal="center" vertical="top" wrapText="1"/>
    </xf>
    <xf numFmtId="0" fontId="8" fillId="5" borderId="19" xfId="0" applyFont="1" applyFill="1" applyBorder="1" applyAlignment="1">
      <alignment horizontal="left" vertical="top" wrapText="1"/>
    </xf>
    <xf numFmtId="1" fontId="9" fillId="3" borderId="7" xfId="0" applyNumberFormat="1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1" fontId="8" fillId="3" borderId="7" xfId="0" applyNumberFormat="1" applyFont="1" applyFill="1" applyBorder="1" applyAlignment="1">
      <alignment horizontal="center" vertical="center" wrapText="1"/>
    </xf>
    <xf numFmtId="1" fontId="10" fillId="2" borderId="32" xfId="0" applyNumberFormat="1" applyFont="1" applyFill="1" applyBorder="1" applyAlignment="1">
      <alignment horizontal="center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135547</xdr:colOff>
      <xdr:row>29</xdr:row>
      <xdr:rowOff>12023</xdr:rowOff>
    </xdr:from>
    <xdr:to>
      <xdr:col>8</xdr:col>
      <xdr:colOff>3386677</xdr:colOff>
      <xdr:row>33</xdr:row>
      <xdr:rowOff>123824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5572" y="8813123"/>
          <a:ext cx="3251130" cy="7976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7"/>
    <col min="2" max="2" width="29.75" style="148" customWidth="1"/>
    <col min="3" max="3" width="23.125" style="147" customWidth="1"/>
    <col min="4" max="4" width="66.75" style="147" customWidth="1"/>
    <col min="5" max="5" width="141.375" style="147" customWidth="1"/>
    <col min="6" max="7" width="31.125" style="147" customWidth="1"/>
    <col min="8" max="8" width="174.5" style="147" customWidth="1"/>
    <col min="9" max="16384" width="9" style="147"/>
  </cols>
  <sheetData>
    <row r="1" spans="1:9" s="143" customFormat="1" ht="23.25">
      <c r="B1" s="149"/>
    </row>
    <row r="2" spans="1:9" s="143" customFormat="1" ht="23.25">
      <c r="A2" s="150"/>
      <c r="B2" s="151" t="s">
        <v>0</v>
      </c>
      <c r="C2" s="150"/>
      <c r="D2" s="150"/>
      <c r="E2" s="150"/>
      <c r="F2" s="150"/>
      <c r="G2" s="150"/>
    </row>
    <row r="3" spans="1:9" s="143" customFormat="1" ht="24.75">
      <c r="A3" s="150"/>
      <c r="B3" s="152" t="s">
        <v>1</v>
      </c>
      <c r="C3" s="153">
        <v>1.2</v>
      </c>
      <c r="D3" s="154"/>
      <c r="E3" s="154"/>
      <c r="F3" s="154"/>
      <c r="G3" s="154"/>
      <c r="H3" s="154"/>
      <c r="I3" s="154"/>
    </row>
    <row r="4" spans="1:9" s="143" customFormat="1" ht="24.75">
      <c r="A4" s="150"/>
      <c r="B4" s="152" t="s">
        <v>2</v>
      </c>
      <c r="C4" s="153" t="s">
        <v>3</v>
      </c>
      <c r="D4" s="154"/>
      <c r="E4" s="154"/>
      <c r="F4" s="154"/>
      <c r="G4" s="154"/>
      <c r="H4" s="154"/>
      <c r="I4" s="154"/>
    </row>
    <row r="5" spans="1:9" s="143" customFormat="1" ht="24.75">
      <c r="A5" s="150"/>
      <c r="B5" s="152"/>
      <c r="C5" s="154"/>
      <c r="D5" s="154"/>
      <c r="E5" s="154"/>
      <c r="F5" s="154"/>
      <c r="G5" s="154"/>
      <c r="H5" s="154"/>
      <c r="I5" s="154"/>
    </row>
    <row r="6" spans="1:9" s="143" customFormat="1" ht="47.45" customHeight="1">
      <c r="A6" s="150"/>
      <c r="B6" s="152" t="s">
        <v>4</v>
      </c>
      <c r="C6" s="155" t="s">
        <v>5</v>
      </c>
      <c r="D6" s="154"/>
      <c r="E6" s="154"/>
      <c r="F6" s="154"/>
      <c r="G6" s="154"/>
      <c r="H6" s="154"/>
      <c r="I6" s="154"/>
    </row>
    <row r="7" spans="1:9" s="143" customFormat="1" ht="27" customHeight="1">
      <c r="A7" s="150"/>
      <c r="B7" s="152" t="s">
        <v>6</v>
      </c>
      <c r="C7" s="155" t="s">
        <v>7</v>
      </c>
      <c r="D7" s="154"/>
      <c r="E7" s="154"/>
      <c r="F7" s="154"/>
      <c r="G7" s="154"/>
      <c r="H7" s="154"/>
      <c r="I7" s="154"/>
    </row>
    <row r="8" spans="1:9" s="143" customFormat="1" ht="23.25">
      <c r="A8" s="150"/>
      <c r="B8" s="152"/>
      <c r="C8" s="150"/>
      <c r="D8" s="150"/>
      <c r="E8" s="150"/>
      <c r="F8" s="150"/>
      <c r="G8" s="150"/>
    </row>
    <row r="9" spans="1:9" s="143" customFormat="1" ht="23.25">
      <c r="A9" s="150"/>
      <c r="B9" s="149"/>
      <c r="F9" s="150"/>
      <c r="G9" s="150"/>
    </row>
    <row r="10" spans="1:9" s="143" customFormat="1" ht="24">
      <c r="B10" s="156" t="s">
        <v>8</v>
      </c>
      <c r="C10" s="157"/>
      <c r="D10" s="157"/>
      <c r="E10" s="157"/>
      <c r="F10" s="157"/>
      <c r="G10" s="157"/>
      <c r="H10" s="157"/>
    </row>
    <row r="11" spans="1:9" s="144" customFormat="1" ht="63.6" customHeight="1">
      <c r="B11" s="158"/>
      <c r="C11" s="159" t="s">
        <v>9</v>
      </c>
      <c r="D11" s="159" t="s">
        <v>10</v>
      </c>
      <c r="E11" s="159" t="s">
        <v>11</v>
      </c>
      <c r="F11" s="159" t="s">
        <v>12</v>
      </c>
      <c r="G11" s="160" t="s">
        <v>13</v>
      </c>
      <c r="H11" s="161" t="s">
        <v>14</v>
      </c>
    </row>
    <row r="12" spans="1:9" s="145" customFormat="1" ht="49.9" customHeight="1">
      <c r="B12" s="162">
        <v>46268</v>
      </c>
      <c r="C12" s="163" t="s">
        <v>15</v>
      </c>
      <c r="D12" s="163" t="s">
        <v>16</v>
      </c>
      <c r="E12" s="163" t="s">
        <v>17</v>
      </c>
      <c r="F12" s="163" t="s">
        <v>18</v>
      </c>
      <c r="G12" s="163" t="s">
        <v>18</v>
      </c>
      <c r="H12" s="164" t="s">
        <v>19</v>
      </c>
    </row>
    <row r="13" spans="1:9" s="145" customFormat="1" ht="49.9" customHeight="1">
      <c r="B13" s="162">
        <v>46116</v>
      </c>
      <c r="C13" s="163">
        <v>1.1000000000000001</v>
      </c>
      <c r="D13" s="163" t="s">
        <v>20</v>
      </c>
      <c r="E13" s="163" t="s">
        <v>21</v>
      </c>
      <c r="F13" s="163" t="s">
        <v>22</v>
      </c>
      <c r="G13" s="163" t="s">
        <v>18</v>
      </c>
      <c r="H13" s="164" t="s">
        <v>23</v>
      </c>
    </row>
    <row r="14" spans="1:9" s="145" customFormat="1" ht="49.9" customHeight="1">
      <c r="B14" s="162">
        <v>46116</v>
      </c>
      <c r="C14" s="163">
        <v>1.1000000000000001</v>
      </c>
      <c r="D14" s="163" t="s">
        <v>24</v>
      </c>
      <c r="E14" s="163" t="s">
        <v>25</v>
      </c>
      <c r="F14" s="163" t="s">
        <v>26</v>
      </c>
      <c r="G14" s="163" t="s">
        <v>18</v>
      </c>
      <c r="H14" s="164" t="s">
        <v>27</v>
      </c>
    </row>
    <row r="15" spans="1:9" s="145" customFormat="1" ht="49.9" customHeight="1">
      <c r="B15" s="162">
        <v>46116</v>
      </c>
      <c r="C15" s="163">
        <v>1.1000000000000001</v>
      </c>
      <c r="D15" s="163" t="s">
        <v>28</v>
      </c>
      <c r="E15" s="163" t="s">
        <v>29</v>
      </c>
      <c r="F15" s="163" t="s">
        <v>18</v>
      </c>
      <c r="G15" s="163" t="s">
        <v>18</v>
      </c>
      <c r="H15" s="164" t="s">
        <v>30</v>
      </c>
    </row>
    <row r="16" spans="1:9" s="145" customFormat="1" ht="49.9" customHeight="1">
      <c r="B16" s="162">
        <v>46116</v>
      </c>
      <c r="C16" s="163">
        <v>1.1000000000000001</v>
      </c>
      <c r="D16" s="163" t="s">
        <v>31</v>
      </c>
      <c r="E16" s="163" t="s">
        <v>32</v>
      </c>
      <c r="F16" s="163" t="s">
        <v>18</v>
      </c>
      <c r="G16" s="163" t="s">
        <v>18</v>
      </c>
      <c r="H16" s="164" t="s">
        <v>33</v>
      </c>
    </row>
    <row r="17" spans="2:8" s="146" customFormat="1" ht="49.9" customHeight="1">
      <c r="B17" s="162">
        <v>46330</v>
      </c>
      <c r="C17" s="163">
        <v>1.2</v>
      </c>
      <c r="D17" s="163" t="s">
        <v>20</v>
      </c>
      <c r="E17" s="163" t="s">
        <v>34</v>
      </c>
      <c r="F17" s="163" t="s">
        <v>22</v>
      </c>
      <c r="G17" s="163" t="s">
        <v>18</v>
      </c>
      <c r="H17" s="164" t="s">
        <v>23</v>
      </c>
    </row>
    <row r="18" spans="2:8" s="146" customFormat="1" ht="49.9" customHeight="1">
      <c r="B18" s="162">
        <v>46330</v>
      </c>
      <c r="C18" s="163">
        <v>1.2</v>
      </c>
      <c r="D18" s="163" t="s">
        <v>24</v>
      </c>
      <c r="E18" s="163" t="s">
        <v>35</v>
      </c>
      <c r="F18" s="163" t="s">
        <v>26</v>
      </c>
      <c r="G18" s="163" t="s">
        <v>18</v>
      </c>
      <c r="H18" s="164" t="s">
        <v>27</v>
      </c>
    </row>
    <row r="19" spans="2:8" s="145" customFormat="1" ht="49.9" customHeight="1">
      <c r="B19" s="162" t="s">
        <v>36</v>
      </c>
      <c r="C19" s="163">
        <v>1.2</v>
      </c>
      <c r="D19" s="163" t="s">
        <v>37</v>
      </c>
      <c r="E19" s="163" t="s">
        <v>38</v>
      </c>
      <c r="F19" s="163" t="s">
        <v>18</v>
      </c>
      <c r="G19" s="163"/>
      <c r="H19" s="164" t="s">
        <v>39</v>
      </c>
    </row>
    <row r="20" spans="2:8" s="145" customFormat="1" ht="49.9" customHeight="1">
      <c r="B20" s="162" t="s">
        <v>40</v>
      </c>
      <c r="C20" s="163">
        <v>1.3</v>
      </c>
      <c r="D20" s="163" t="s">
        <v>41</v>
      </c>
      <c r="E20" s="163" t="s">
        <v>42</v>
      </c>
      <c r="F20" s="163" t="s">
        <v>26</v>
      </c>
      <c r="G20" s="163"/>
      <c r="H20" s="164" t="s">
        <v>43</v>
      </c>
    </row>
    <row r="21" spans="2:8" s="145" customFormat="1" ht="49.9" customHeight="1">
      <c r="B21" s="162" t="s">
        <v>44</v>
      </c>
      <c r="C21" s="163">
        <v>1.3</v>
      </c>
      <c r="D21" s="163" t="s">
        <v>28</v>
      </c>
      <c r="E21" s="163" t="s">
        <v>45</v>
      </c>
      <c r="F21" s="163" t="s">
        <v>18</v>
      </c>
      <c r="G21" s="163"/>
      <c r="H21" s="164" t="s">
        <v>30</v>
      </c>
    </row>
    <row r="22" spans="2:8" s="145" customFormat="1" ht="49.9" customHeight="1">
      <c r="B22" s="162" t="s">
        <v>44</v>
      </c>
      <c r="C22" s="163">
        <v>1.3</v>
      </c>
      <c r="D22" s="163" t="s">
        <v>31</v>
      </c>
      <c r="E22" s="163" t="s">
        <v>46</v>
      </c>
      <c r="F22" s="163" t="s">
        <v>18</v>
      </c>
      <c r="G22" s="163"/>
      <c r="H22" s="164" t="s">
        <v>33</v>
      </c>
    </row>
    <row r="23" spans="2:8" s="145" customFormat="1" ht="49.9" customHeight="1">
      <c r="B23" s="162">
        <v>46134</v>
      </c>
      <c r="C23" s="163" t="s">
        <v>47</v>
      </c>
      <c r="D23" s="163" t="s">
        <v>48</v>
      </c>
      <c r="E23" s="163" t="s">
        <v>49</v>
      </c>
      <c r="F23" s="163" t="s">
        <v>18</v>
      </c>
      <c r="G23" s="163"/>
      <c r="H23" s="164" t="s">
        <v>50</v>
      </c>
    </row>
    <row r="24" spans="2:8" s="145" customFormat="1" ht="49.9" customHeight="1">
      <c r="B24" s="162">
        <v>46135</v>
      </c>
      <c r="C24" s="163" t="s">
        <v>51</v>
      </c>
      <c r="D24" s="163" t="s">
        <v>20</v>
      </c>
      <c r="E24" s="163" t="s">
        <v>52</v>
      </c>
      <c r="F24" s="163" t="s">
        <v>22</v>
      </c>
      <c r="G24" s="163"/>
      <c r="H24" s="164"/>
    </row>
    <row r="25" spans="2:8" s="145" customFormat="1" ht="49.9" customHeight="1">
      <c r="B25" s="162">
        <v>46135</v>
      </c>
      <c r="C25" s="163" t="s">
        <v>51</v>
      </c>
      <c r="D25" s="163" t="s">
        <v>53</v>
      </c>
      <c r="E25" s="163" t="s">
        <v>54</v>
      </c>
      <c r="F25" s="163" t="s">
        <v>22</v>
      </c>
      <c r="G25" s="163"/>
      <c r="H25" s="164"/>
    </row>
    <row r="26" spans="2:8" s="145" customFormat="1" ht="49.9" customHeight="1">
      <c r="B26" s="162">
        <v>46135</v>
      </c>
      <c r="C26" s="163" t="s">
        <v>51</v>
      </c>
      <c r="D26" s="163" t="s">
        <v>55</v>
      </c>
      <c r="E26" s="163" t="s">
        <v>56</v>
      </c>
      <c r="F26" s="163" t="s">
        <v>22</v>
      </c>
      <c r="G26" s="163"/>
      <c r="H26" s="164"/>
    </row>
    <row r="27" spans="2:8" ht="49.9" customHeight="1">
      <c r="B27" s="162">
        <v>46140</v>
      </c>
      <c r="C27" s="163" t="s">
        <v>57</v>
      </c>
      <c r="D27" s="163" t="s">
        <v>58</v>
      </c>
      <c r="E27" s="163" t="s">
        <v>59</v>
      </c>
      <c r="F27" s="163" t="s">
        <v>22</v>
      </c>
      <c r="G27" s="163"/>
      <c r="H27" s="164"/>
    </row>
    <row r="28" spans="2:8" ht="49.9" customHeight="1">
      <c r="B28" s="162"/>
      <c r="C28" s="163"/>
      <c r="D28" s="163"/>
      <c r="E28" s="163"/>
      <c r="F28" s="163"/>
      <c r="G28" s="163"/>
      <c r="H28" s="164"/>
    </row>
    <row r="29" spans="2:8" ht="49.9" customHeight="1">
      <c r="B29" s="165"/>
      <c r="C29" s="166"/>
      <c r="D29" s="166"/>
      <c r="E29" s="166"/>
      <c r="F29" s="166"/>
      <c r="G29" s="166"/>
      <c r="H29" s="167"/>
    </row>
    <row r="30" spans="2:8" ht="44.45" customHeight="1">
      <c r="B30" s="168"/>
      <c r="C30" s="169"/>
      <c r="D30" s="169"/>
      <c r="E30" s="169"/>
      <c r="F30" s="169"/>
      <c r="G30" s="169"/>
      <c r="H30" s="169"/>
    </row>
    <row r="31" spans="2:8" ht="39" customHeight="1">
      <c r="B31" s="168"/>
      <c r="C31" s="169"/>
      <c r="D31" s="169"/>
      <c r="E31" s="169"/>
      <c r="F31" s="169"/>
      <c r="G31" s="169"/>
      <c r="H31" s="169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6" t="s">
        <v>0</v>
      </c>
      <c r="B1" s="100" t="s">
        <v>60</v>
      </c>
      <c r="C1" s="100"/>
      <c r="D1" s="100"/>
      <c r="E1" s="67"/>
      <c r="F1" s="67"/>
      <c r="G1" s="67"/>
      <c r="H1" s="67"/>
      <c r="I1" s="67"/>
      <c r="J1" s="68"/>
      <c r="K1" s="67"/>
    </row>
    <row r="2" spans="1:11" ht="14.25">
      <c r="A2" s="69"/>
      <c r="B2" s="101"/>
      <c r="C2" s="101"/>
      <c r="D2" s="101"/>
      <c r="E2" s="67"/>
      <c r="F2" s="67"/>
      <c r="G2" s="67"/>
      <c r="H2" s="67"/>
      <c r="I2" s="67"/>
      <c r="J2" s="68"/>
      <c r="K2" s="67"/>
    </row>
    <row r="3" spans="1:11" ht="14.25">
      <c r="A3" s="70" t="s">
        <v>61</v>
      </c>
      <c r="B3" s="170" t="s">
        <v>62</v>
      </c>
      <c r="C3" s="170"/>
      <c r="D3" s="171"/>
      <c r="E3" s="71"/>
      <c r="F3" s="71"/>
      <c r="G3" s="71"/>
      <c r="H3" s="71"/>
      <c r="I3" s="172"/>
      <c r="J3" s="172"/>
      <c r="K3" s="172"/>
    </row>
    <row r="4" spans="1:11" ht="14.25">
      <c r="A4" s="74" t="s">
        <v>63</v>
      </c>
      <c r="B4" s="173" t="s">
        <v>64</v>
      </c>
      <c r="C4" s="174"/>
      <c r="D4" s="175"/>
      <c r="E4" s="71"/>
      <c r="F4" s="71"/>
      <c r="G4" s="71"/>
      <c r="H4" s="71"/>
      <c r="I4" s="172"/>
      <c r="J4" s="172"/>
      <c r="K4" s="172"/>
    </row>
    <row r="5" spans="1:11">
      <c r="A5" s="74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  <c r="H6" s="72"/>
      <c r="I6" s="172"/>
      <c r="J6" s="172"/>
      <c r="K6" s="172"/>
    </row>
    <row r="7" spans="1:11" ht="14.25">
      <c r="A7" s="81" t="s">
        <v>69</v>
      </c>
      <c r="B7" s="82">
        <v>0</v>
      </c>
      <c r="C7" s="83" t="s">
        <v>70</v>
      </c>
      <c r="D7" s="84">
        <f>COUNTA(A12:A42)-8</f>
        <v>23</v>
      </c>
      <c r="E7" s="85"/>
      <c r="F7" s="85"/>
      <c r="G7" s="85"/>
      <c r="H7" s="85"/>
      <c r="I7" s="172"/>
      <c r="J7" s="172"/>
      <c r="K7" s="172"/>
    </row>
    <row r="8" spans="1:11" ht="14.25">
      <c r="A8" s="180"/>
      <c r="B8" s="180"/>
      <c r="C8" s="180"/>
      <c r="D8" s="180"/>
      <c r="E8" s="72"/>
      <c r="F8" s="72"/>
      <c r="G8" s="72"/>
      <c r="H8" s="72"/>
      <c r="I8" s="72"/>
      <c r="J8" s="86"/>
      <c r="K8" s="86"/>
    </row>
    <row r="9" spans="1:1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</row>
    <row r="10" spans="1:1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</row>
    <row r="11" spans="1:1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1">
      <c r="A12" s="183" t="s">
        <v>79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1" ht="63.75">
      <c r="A13" s="90" t="s">
        <v>80</v>
      </c>
      <c r="B13" s="92" t="s">
        <v>81</v>
      </c>
      <c r="C13" s="92" t="s">
        <v>82</v>
      </c>
      <c r="D13" s="186" t="s">
        <v>83</v>
      </c>
      <c r="E13" s="187"/>
      <c r="F13" s="187"/>
      <c r="G13" s="188"/>
      <c r="H13" s="94"/>
      <c r="I13" s="96"/>
      <c r="J13" s="92" t="s">
        <v>68</v>
      </c>
      <c r="K13" s="92"/>
    </row>
    <row r="14" spans="1:11">
      <c r="A14" s="183" t="s">
        <v>84</v>
      </c>
      <c r="B14" s="184"/>
      <c r="C14" s="184"/>
      <c r="D14" s="184"/>
      <c r="E14" s="184"/>
      <c r="F14" s="184"/>
      <c r="G14" s="184"/>
      <c r="H14" s="184"/>
      <c r="I14" s="184"/>
      <c r="J14" s="184"/>
      <c r="K14" s="185"/>
    </row>
    <row r="15" spans="1:11" ht="63.75">
      <c r="A15" s="102" t="s">
        <v>85</v>
      </c>
      <c r="B15" s="102" t="s">
        <v>86</v>
      </c>
      <c r="C15" s="102" t="s">
        <v>87</v>
      </c>
      <c r="D15" s="189" t="s">
        <v>88</v>
      </c>
      <c r="E15" s="190"/>
      <c r="F15" s="190"/>
      <c r="G15" s="191"/>
      <c r="H15" s="103"/>
      <c r="I15" s="103"/>
      <c r="J15" s="104" t="s">
        <v>68</v>
      </c>
      <c r="K15" s="103"/>
    </row>
    <row r="16" spans="1:11">
      <c r="A16" s="183" t="s">
        <v>89</v>
      </c>
      <c r="B16" s="184"/>
      <c r="C16" s="184"/>
      <c r="D16" s="88"/>
      <c r="E16" s="88"/>
      <c r="F16" s="88"/>
      <c r="G16" s="88"/>
      <c r="H16" s="88"/>
      <c r="I16" s="88"/>
      <c r="J16" s="88"/>
      <c r="K16" s="89"/>
    </row>
    <row r="17" spans="1:11">
      <c r="A17" s="90" t="s">
        <v>90</v>
      </c>
      <c r="B17" s="98" t="s">
        <v>91</v>
      </c>
      <c r="C17" s="98" t="s">
        <v>92</v>
      </c>
      <c r="D17" s="186" t="s">
        <v>93</v>
      </c>
      <c r="E17" s="192"/>
      <c r="F17" s="192"/>
      <c r="G17" s="193"/>
      <c r="H17" s="94"/>
      <c r="I17" s="93"/>
      <c r="J17" s="92" t="s">
        <v>68</v>
      </c>
      <c r="K17" s="92"/>
    </row>
    <row r="18" spans="1:11">
      <c r="A18" s="183" t="s">
        <v>94</v>
      </c>
      <c r="B18" s="184"/>
      <c r="C18" s="184"/>
      <c r="D18" s="88"/>
      <c r="E18" s="88"/>
      <c r="F18" s="88"/>
      <c r="G18" s="88"/>
      <c r="H18" s="88"/>
      <c r="I18" s="88"/>
      <c r="J18" s="88"/>
      <c r="K18" s="89"/>
    </row>
    <row r="19" spans="1:11" ht="38.25">
      <c r="A19" s="90" t="s">
        <v>95</v>
      </c>
      <c r="B19" s="92" t="s">
        <v>96</v>
      </c>
      <c r="C19" s="92" t="s">
        <v>97</v>
      </c>
      <c r="D19" s="194" t="s">
        <v>98</v>
      </c>
      <c r="E19" s="187"/>
      <c r="F19" s="187"/>
      <c r="G19" s="188"/>
      <c r="H19" s="94"/>
      <c r="I19" s="93"/>
      <c r="J19" s="92" t="s">
        <v>68</v>
      </c>
      <c r="K19" s="92"/>
    </row>
    <row r="20" spans="1:11">
      <c r="A20" s="183" t="s">
        <v>99</v>
      </c>
      <c r="B20" s="184"/>
      <c r="C20" s="184"/>
      <c r="D20" s="88"/>
      <c r="E20" s="88"/>
      <c r="F20" s="88"/>
      <c r="G20" s="88"/>
      <c r="H20" s="88"/>
      <c r="I20" s="88"/>
      <c r="J20" s="88"/>
      <c r="K20" s="89"/>
    </row>
    <row r="21" spans="1:11" ht="63.75">
      <c r="A21" s="90" t="s">
        <v>100</v>
      </c>
      <c r="B21" s="92" t="s">
        <v>101</v>
      </c>
      <c r="C21" s="92" t="s">
        <v>102</v>
      </c>
      <c r="D21" s="194" t="s">
        <v>103</v>
      </c>
      <c r="E21" s="187"/>
      <c r="F21" s="187"/>
      <c r="G21" s="188"/>
      <c r="H21" s="94"/>
      <c r="I21" s="93"/>
      <c r="J21" s="92" t="s">
        <v>68</v>
      </c>
      <c r="K21" s="92"/>
    </row>
    <row r="22" spans="1:11" ht="51">
      <c r="A22" s="90" t="s">
        <v>104</v>
      </c>
      <c r="B22" s="92" t="s">
        <v>105</v>
      </c>
      <c r="C22" s="92" t="s">
        <v>106</v>
      </c>
      <c r="D22" s="194" t="s">
        <v>107</v>
      </c>
      <c r="E22" s="187"/>
      <c r="F22" s="187"/>
      <c r="G22" s="188"/>
      <c r="H22" s="92"/>
      <c r="I22" s="92"/>
      <c r="J22" s="92" t="s">
        <v>68</v>
      </c>
      <c r="K22" s="92"/>
    </row>
    <row r="23" spans="1:11">
      <c r="A23" s="183" t="s">
        <v>108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5"/>
    </row>
    <row r="24" spans="1:11" ht="66.95" customHeight="1">
      <c r="A24" s="90" t="s">
        <v>109</v>
      </c>
      <c r="B24" s="92" t="s">
        <v>110</v>
      </c>
      <c r="C24" s="92" t="s">
        <v>111</v>
      </c>
      <c r="D24" s="194" t="s">
        <v>112</v>
      </c>
      <c r="E24" s="187"/>
      <c r="F24" s="187"/>
      <c r="G24" s="188"/>
      <c r="H24" s="92"/>
      <c r="I24" s="92"/>
      <c r="J24" s="92" t="s">
        <v>68</v>
      </c>
      <c r="K24" s="92"/>
    </row>
    <row r="25" spans="1:11" ht="99" customHeight="1">
      <c r="A25" s="90" t="s">
        <v>113</v>
      </c>
      <c r="B25" s="92" t="s">
        <v>114</v>
      </c>
      <c r="C25" s="92" t="s">
        <v>115</v>
      </c>
      <c r="D25" s="194" t="s">
        <v>116</v>
      </c>
      <c r="E25" s="187"/>
      <c r="F25" s="187"/>
      <c r="G25" s="188"/>
      <c r="H25" s="92"/>
      <c r="I25" s="92"/>
      <c r="J25" s="92" t="s">
        <v>68</v>
      </c>
      <c r="K25" s="92"/>
    </row>
    <row r="26" spans="1:11">
      <c r="A26" s="183" t="s">
        <v>117</v>
      </c>
      <c r="B26" s="184"/>
      <c r="C26" s="184"/>
      <c r="D26" s="184"/>
      <c r="E26" s="184"/>
      <c r="F26" s="184"/>
      <c r="G26" s="184"/>
      <c r="H26" s="184"/>
      <c r="I26" s="184"/>
      <c r="J26" s="184"/>
      <c r="K26" s="185"/>
    </row>
    <row r="27" spans="1:11" s="137" customFormat="1" ht="63.75">
      <c r="A27" s="90" t="s">
        <v>118</v>
      </c>
      <c r="B27" s="92" t="s">
        <v>119</v>
      </c>
      <c r="C27" s="92" t="s">
        <v>120</v>
      </c>
      <c r="D27" s="194" t="s">
        <v>121</v>
      </c>
      <c r="E27" s="187"/>
      <c r="F27" s="187"/>
      <c r="G27" s="188"/>
      <c r="H27" s="92"/>
      <c r="I27" s="92"/>
      <c r="J27" s="92" t="s">
        <v>68</v>
      </c>
      <c r="K27" s="92"/>
    </row>
    <row r="28" spans="1:11" ht="25.5">
      <c r="A28" s="138" t="s">
        <v>122</v>
      </c>
      <c r="B28" s="92" t="s">
        <v>123</v>
      </c>
      <c r="C28" s="92" t="s">
        <v>124</v>
      </c>
      <c r="D28" s="194" t="s">
        <v>125</v>
      </c>
      <c r="E28" s="187"/>
      <c r="F28" s="187"/>
      <c r="G28" s="188"/>
      <c r="H28" s="92"/>
      <c r="I28" s="92"/>
      <c r="J28" s="92" t="s">
        <v>68</v>
      </c>
      <c r="K28" s="92"/>
    </row>
    <row r="29" spans="1:11" ht="25.5">
      <c r="A29" s="90" t="s">
        <v>126</v>
      </c>
      <c r="B29" s="95" t="s">
        <v>127</v>
      </c>
      <c r="C29" s="92" t="s">
        <v>128</v>
      </c>
      <c r="D29" s="194" t="s">
        <v>129</v>
      </c>
      <c r="E29" s="187"/>
      <c r="F29" s="187"/>
      <c r="G29" s="188"/>
      <c r="H29" s="139"/>
      <c r="I29" s="139"/>
      <c r="J29" s="92" t="s">
        <v>68</v>
      </c>
      <c r="K29" s="139"/>
    </row>
    <row r="30" spans="1:11">
      <c r="A30" s="195" t="s">
        <v>130</v>
      </c>
      <c r="B30" s="196"/>
      <c r="C30" s="196"/>
      <c r="D30" s="196"/>
      <c r="E30" s="196"/>
      <c r="F30" s="196"/>
      <c r="G30" s="196"/>
      <c r="H30" s="196"/>
      <c r="I30" s="196"/>
      <c r="J30" s="196"/>
      <c r="K30" s="197"/>
    </row>
    <row r="31" spans="1:11" ht="102">
      <c r="A31" s="90" t="s">
        <v>80</v>
      </c>
      <c r="B31" s="92" t="s">
        <v>131</v>
      </c>
      <c r="C31" s="92" t="s">
        <v>132</v>
      </c>
      <c r="D31" s="198" t="s">
        <v>133</v>
      </c>
      <c r="E31" s="199"/>
      <c r="F31" s="199"/>
      <c r="G31" s="199"/>
      <c r="H31" s="92"/>
      <c r="I31" s="125"/>
      <c r="J31" s="92" t="s">
        <v>68</v>
      </c>
      <c r="K31" s="92"/>
    </row>
    <row r="32" spans="1:11" ht="51">
      <c r="A32" s="140" t="s">
        <v>85</v>
      </c>
      <c r="B32" s="140" t="s">
        <v>134</v>
      </c>
      <c r="C32" s="141" t="s">
        <v>135</v>
      </c>
      <c r="D32" s="200" t="s">
        <v>136</v>
      </c>
      <c r="E32" s="201"/>
      <c r="F32" s="201"/>
      <c r="G32" s="202"/>
      <c r="H32" s="141"/>
      <c r="I32" s="141"/>
      <c r="J32" s="140" t="s">
        <v>68</v>
      </c>
      <c r="K32" s="140"/>
    </row>
    <row r="33" spans="1:11" ht="51">
      <c r="A33" s="90" t="s">
        <v>90</v>
      </c>
      <c r="B33" s="92" t="s">
        <v>137</v>
      </c>
      <c r="C33" s="92" t="s">
        <v>138</v>
      </c>
      <c r="D33" s="198" t="s">
        <v>139</v>
      </c>
      <c r="E33" s="199"/>
      <c r="F33" s="199"/>
      <c r="G33" s="199"/>
      <c r="H33" s="92"/>
      <c r="I33" s="125"/>
      <c r="J33" s="92" t="s">
        <v>68</v>
      </c>
      <c r="K33" s="92"/>
    </row>
    <row r="34" spans="1:11" ht="63.75">
      <c r="A34" s="90" t="s">
        <v>95</v>
      </c>
      <c r="B34" s="92" t="s">
        <v>140</v>
      </c>
      <c r="C34" s="92" t="s">
        <v>141</v>
      </c>
      <c r="D34" s="198" t="s">
        <v>142</v>
      </c>
      <c r="E34" s="199"/>
      <c r="F34" s="199"/>
      <c r="G34" s="199"/>
      <c r="H34" s="92"/>
      <c r="I34" s="125"/>
      <c r="J34" s="92" t="s">
        <v>68</v>
      </c>
      <c r="K34" s="92"/>
    </row>
    <row r="35" spans="1:11" ht="51">
      <c r="A35" s="90" t="s">
        <v>100</v>
      </c>
      <c r="B35" s="92" t="s">
        <v>143</v>
      </c>
      <c r="C35" s="92" t="s">
        <v>144</v>
      </c>
      <c r="D35" s="198" t="s">
        <v>145</v>
      </c>
      <c r="E35" s="199"/>
      <c r="F35" s="199"/>
      <c r="G35" s="199"/>
      <c r="H35" s="92"/>
      <c r="I35" s="125"/>
      <c r="J35" s="92" t="s">
        <v>68</v>
      </c>
      <c r="K35" s="92"/>
    </row>
    <row r="36" spans="1:11" ht="63.75">
      <c r="A36" s="90" t="s">
        <v>104</v>
      </c>
      <c r="B36" s="92" t="s">
        <v>146</v>
      </c>
      <c r="C36" s="92" t="s">
        <v>147</v>
      </c>
      <c r="D36" s="198" t="s">
        <v>148</v>
      </c>
      <c r="E36" s="199"/>
      <c r="F36" s="199"/>
      <c r="G36" s="199"/>
      <c r="H36" s="92"/>
      <c r="I36" s="125"/>
      <c r="J36" s="92" t="s">
        <v>68</v>
      </c>
      <c r="K36" s="92"/>
    </row>
    <row r="37" spans="1:11" ht="63.75">
      <c r="A37" s="138" t="s">
        <v>109</v>
      </c>
      <c r="B37" s="98" t="s">
        <v>149</v>
      </c>
      <c r="C37" s="98" t="s">
        <v>150</v>
      </c>
      <c r="D37" s="203" t="s">
        <v>151</v>
      </c>
      <c r="E37" s="204"/>
      <c r="F37" s="204"/>
      <c r="G37" s="204"/>
      <c r="H37" s="98"/>
      <c r="I37" s="142"/>
      <c r="J37" s="98" t="s">
        <v>68</v>
      </c>
      <c r="K37" s="98"/>
    </row>
    <row r="38" spans="1:11" ht="63.75">
      <c r="A38" s="138" t="s">
        <v>113</v>
      </c>
      <c r="B38" s="98" t="s">
        <v>152</v>
      </c>
      <c r="C38" s="98" t="s">
        <v>153</v>
      </c>
      <c r="D38" s="203" t="s">
        <v>154</v>
      </c>
      <c r="E38" s="204"/>
      <c r="F38" s="204"/>
      <c r="G38" s="204"/>
      <c r="H38" s="98"/>
      <c r="I38" s="142"/>
      <c r="J38" s="98" t="s">
        <v>68</v>
      </c>
      <c r="K38" s="98"/>
    </row>
    <row r="39" spans="1:11" ht="76.5">
      <c r="A39" s="90" t="s">
        <v>118</v>
      </c>
      <c r="B39" s="92" t="s">
        <v>155</v>
      </c>
      <c r="C39" s="92" t="s">
        <v>156</v>
      </c>
      <c r="D39" s="198" t="s">
        <v>157</v>
      </c>
      <c r="E39" s="199"/>
      <c r="F39" s="199"/>
      <c r="G39" s="199"/>
      <c r="H39" s="92"/>
      <c r="I39" s="125"/>
      <c r="J39" s="92" t="s">
        <v>68</v>
      </c>
      <c r="K39" s="92"/>
    </row>
    <row r="40" spans="1:11" ht="63.75">
      <c r="A40" s="90" t="s">
        <v>122</v>
      </c>
      <c r="B40" s="92" t="s">
        <v>158</v>
      </c>
      <c r="C40" s="92" t="s">
        <v>159</v>
      </c>
      <c r="D40" s="198" t="s">
        <v>160</v>
      </c>
      <c r="E40" s="199"/>
      <c r="F40" s="199"/>
      <c r="G40" s="199"/>
      <c r="H40" s="92"/>
      <c r="I40" s="125"/>
      <c r="J40" s="92" t="s">
        <v>68</v>
      </c>
      <c r="K40" s="92"/>
    </row>
    <row r="41" spans="1:11" ht="63.75">
      <c r="A41" s="90" t="s">
        <v>126</v>
      </c>
      <c r="B41" s="92" t="s">
        <v>158</v>
      </c>
      <c r="C41" s="92" t="s">
        <v>159</v>
      </c>
      <c r="D41" s="198" t="s">
        <v>160</v>
      </c>
      <c r="E41" s="199"/>
      <c r="F41" s="199"/>
      <c r="G41" s="199"/>
      <c r="H41" s="92"/>
      <c r="I41" s="125"/>
      <c r="J41" s="92" t="s">
        <v>68</v>
      </c>
      <c r="K41" s="92"/>
    </row>
    <row r="42" spans="1:11" ht="76.5">
      <c r="A42" s="90" t="s">
        <v>161</v>
      </c>
      <c r="B42" s="92" t="s">
        <v>162</v>
      </c>
      <c r="C42" s="92" t="s">
        <v>163</v>
      </c>
      <c r="D42" s="198" t="s">
        <v>164</v>
      </c>
      <c r="E42" s="199"/>
      <c r="F42" s="199"/>
      <c r="G42" s="199"/>
      <c r="H42" s="92"/>
      <c r="I42" s="125"/>
      <c r="J42" s="92" t="s">
        <v>68</v>
      </c>
      <c r="K42" s="92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6" t="s">
        <v>0</v>
      </c>
      <c r="B1" s="100" t="s">
        <v>165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170" t="s">
        <v>62</v>
      </c>
      <c r="C3" s="170"/>
      <c r="D3" s="171"/>
    </row>
    <row r="4" spans="1:11">
      <c r="A4" s="74" t="s">
        <v>63</v>
      </c>
      <c r="B4" s="173" t="s">
        <v>166</v>
      </c>
      <c r="C4" s="174"/>
      <c r="D4" s="175"/>
    </row>
    <row r="5" spans="1:11" ht="25.5">
      <c r="A5" s="74" t="s">
        <v>65</v>
      </c>
      <c r="B5" s="176" t="s">
        <v>66</v>
      </c>
      <c r="C5" s="177"/>
      <c r="D5" s="178"/>
    </row>
    <row r="6" spans="1:11" ht="14.25">
      <c r="A6" s="77" t="s">
        <v>67</v>
      </c>
      <c r="B6" s="78">
        <v>0</v>
      </c>
      <c r="C6" s="79" t="s">
        <v>68</v>
      </c>
      <c r="D6" s="80">
        <v>10</v>
      </c>
    </row>
    <row r="7" spans="1:11" ht="14.25">
      <c r="A7" s="81" t="s">
        <v>69</v>
      </c>
      <c r="B7" s="82">
        <v>0</v>
      </c>
      <c r="C7" s="83" t="s">
        <v>70</v>
      </c>
      <c r="D7" s="84">
        <v>10</v>
      </c>
    </row>
    <row r="9" spans="1:1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</row>
    <row r="10" spans="1:1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</row>
    <row r="11" spans="1:1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1">
      <c r="A12" s="183" t="s">
        <v>167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1" ht="90" customHeight="1">
      <c r="A13" s="90" t="s">
        <v>80</v>
      </c>
      <c r="B13" s="131" t="s">
        <v>168</v>
      </c>
      <c r="C13" s="92" t="s">
        <v>169</v>
      </c>
      <c r="D13" s="186" t="s">
        <v>170</v>
      </c>
      <c r="E13" s="187"/>
      <c r="F13" s="187"/>
      <c r="G13" s="188"/>
      <c r="H13" s="94"/>
      <c r="I13" s="96"/>
      <c r="J13" s="92" t="s">
        <v>68</v>
      </c>
      <c r="K13" s="92"/>
    </row>
    <row r="14" spans="1:11" ht="93" customHeight="1">
      <c r="A14" s="90" t="s">
        <v>85</v>
      </c>
      <c r="B14" s="92" t="s">
        <v>171</v>
      </c>
      <c r="C14" s="92" t="s">
        <v>172</v>
      </c>
      <c r="D14" s="186" t="s">
        <v>173</v>
      </c>
      <c r="E14" s="187"/>
      <c r="F14" s="187"/>
      <c r="G14" s="188"/>
      <c r="H14" s="94"/>
      <c r="I14" s="96"/>
      <c r="J14" s="92" t="s">
        <v>68</v>
      </c>
      <c r="K14" s="92"/>
    </row>
    <row r="15" spans="1:11" ht="63.95" customHeight="1">
      <c r="A15" s="90" t="s">
        <v>90</v>
      </c>
      <c r="B15" s="92" t="s">
        <v>174</v>
      </c>
      <c r="C15" s="92" t="s">
        <v>175</v>
      </c>
      <c r="D15" s="186" t="s">
        <v>176</v>
      </c>
      <c r="E15" s="187"/>
      <c r="F15" s="187"/>
      <c r="G15" s="188"/>
      <c r="H15" s="94"/>
      <c r="I15" s="96"/>
      <c r="J15" s="92" t="s">
        <v>68</v>
      </c>
      <c r="K15" s="92"/>
    </row>
    <row r="16" spans="1:11" ht="38.25">
      <c r="A16" s="90" t="s">
        <v>95</v>
      </c>
      <c r="B16" s="92" t="s">
        <v>177</v>
      </c>
      <c r="C16" s="92" t="s">
        <v>178</v>
      </c>
      <c r="D16" s="186" t="s">
        <v>179</v>
      </c>
      <c r="E16" s="187"/>
      <c r="F16" s="187"/>
      <c r="G16" s="188"/>
      <c r="H16" s="94"/>
      <c r="I16" s="96"/>
      <c r="J16" s="92" t="s">
        <v>68</v>
      </c>
      <c r="K16" s="92"/>
    </row>
    <row r="17" spans="1:11" ht="38.25">
      <c r="A17" s="90" t="s">
        <v>100</v>
      </c>
      <c r="B17" s="92" t="s">
        <v>180</v>
      </c>
      <c r="C17" s="92" t="s">
        <v>181</v>
      </c>
      <c r="D17" s="186" t="s">
        <v>182</v>
      </c>
      <c r="E17" s="187"/>
      <c r="F17" s="187"/>
      <c r="G17" s="188"/>
      <c r="H17" s="94"/>
      <c r="I17" s="96"/>
      <c r="J17" s="92" t="s">
        <v>68</v>
      </c>
      <c r="K17" s="92"/>
    </row>
    <row r="18" spans="1:11" ht="75.95" customHeight="1">
      <c r="A18" s="90" t="s">
        <v>104</v>
      </c>
      <c r="B18" s="92" t="s">
        <v>183</v>
      </c>
      <c r="C18" s="92" t="s">
        <v>184</v>
      </c>
      <c r="D18" s="186" t="s">
        <v>185</v>
      </c>
      <c r="E18" s="187"/>
      <c r="F18" s="187"/>
      <c r="G18" s="188"/>
      <c r="H18" s="94"/>
      <c r="I18" s="96"/>
      <c r="J18" s="92" t="s">
        <v>68</v>
      </c>
      <c r="K18" s="92"/>
    </row>
    <row r="19" spans="1:11" ht="72" customHeight="1">
      <c r="A19" s="90" t="s">
        <v>109</v>
      </c>
      <c r="B19" s="92" t="s">
        <v>186</v>
      </c>
      <c r="C19" s="92" t="s">
        <v>187</v>
      </c>
      <c r="D19" s="186" t="s">
        <v>188</v>
      </c>
      <c r="E19" s="187"/>
      <c r="F19" s="187"/>
      <c r="G19" s="188"/>
      <c r="H19" s="94"/>
      <c r="I19" s="96"/>
      <c r="J19" s="92" t="s">
        <v>68</v>
      </c>
      <c r="K19" s="92"/>
    </row>
    <row r="20" spans="1:11">
      <c r="A20" s="183" t="s">
        <v>189</v>
      </c>
      <c r="B20" s="184"/>
      <c r="C20" s="184"/>
      <c r="D20" s="184"/>
      <c r="E20" s="184"/>
      <c r="F20" s="184"/>
      <c r="G20" s="184"/>
      <c r="H20" s="184"/>
      <c r="I20" s="184"/>
      <c r="J20" s="184"/>
      <c r="K20" s="185"/>
    </row>
    <row r="21" spans="1:11" ht="41.1" customHeight="1">
      <c r="A21" s="90" t="s">
        <v>113</v>
      </c>
      <c r="B21" s="132" t="s">
        <v>190</v>
      </c>
      <c r="C21" s="92" t="s">
        <v>191</v>
      </c>
      <c r="D21" s="186" t="s">
        <v>192</v>
      </c>
      <c r="E21" s="187"/>
      <c r="F21" s="187"/>
      <c r="G21" s="188"/>
      <c r="H21" s="94"/>
      <c r="I21" s="96"/>
      <c r="J21" s="92" t="s">
        <v>68</v>
      </c>
      <c r="K21" s="92"/>
    </row>
    <row r="22" spans="1:11" ht="41.1" customHeight="1">
      <c r="A22" s="90" t="s">
        <v>118</v>
      </c>
      <c r="B22" s="132" t="s">
        <v>193</v>
      </c>
      <c r="C22" s="92" t="s">
        <v>194</v>
      </c>
      <c r="D22" s="186" t="s">
        <v>195</v>
      </c>
      <c r="E22" s="187"/>
      <c r="F22" s="187"/>
      <c r="G22" s="188"/>
      <c r="H22" s="94"/>
      <c r="I22" s="96"/>
      <c r="J22" s="92" t="s">
        <v>68</v>
      </c>
      <c r="K22" s="92"/>
    </row>
    <row r="23" spans="1:11" ht="41.1" customHeight="1">
      <c r="A23" s="90" t="s">
        <v>122</v>
      </c>
      <c r="B23" s="132" t="s">
        <v>196</v>
      </c>
      <c r="C23" s="92" t="s">
        <v>197</v>
      </c>
      <c r="D23" s="186" t="s">
        <v>198</v>
      </c>
      <c r="E23" s="187"/>
      <c r="F23" s="187"/>
      <c r="G23" s="188"/>
      <c r="H23" s="94"/>
      <c r="I23" s="96"/>
      <c r="J23" s="92" t="s">
        <v>68</v>
      </c>
      <c r="K23" s="92"/>
    </row>
    <row r="24" spans="1:11">
      <c r="A24" s="217"/>
      <c r="B24" s="217"/>
      <c r="C24" s="217"/>
      <c r="D24" s="217"/>
      <c r="E24" s="217"/>
      <c r="F24" s="217"/>
      <c r="G24" s="217"/>
      <c r="H24" s="217"/>
      <c r="I24" s="217"/>
      <c r="J24" s="217"/>
      <c r="K24" s="217"/>
    </row>
    <row r="25" spans="1:11" ht="35.1" customHeight="1">
      <c r="A25" s="133"/>
      <c r="B25" s="134"/>
      <c r="C25" s="135"/>
      <c r="D25" s="218"/>
      <c r="E25" s="219"/>
      <c r="F25" s="219"/>
      <c r="G25" s="219"/>
      <c r="H25" s="135"/>
      <c r="I25" s="136"/>
      <c r="J25" s="135"/>
      <c r="K25" s="135"/>
    </row>
    <row r="26" spans="1:11" ht="36.950000000000003" customHeight="1">
      <c r="A26" s="133"/>
      <c r="B26" s="134"/>
      <c r="C26" s="135"/>
      <c r="D26" s="218"/>
      <c r="E26" s="219"/>
      <c r="F26" s="219"/>
      <c r="G26" s="219"/>
      <c r="H26" s="135"/>
      <c r="I26" s="136"/>
      <c r="J26" s="135"/>
      <c r="K26" s="135"/>
    </row>
    <row r="27" spans="1:11" ht="48" customHeight="1">
      <c r="A27" s="133"/>
      <c r="B27" s="134"/>
      <c r="C27" s="135"/>
      <c r="D27" s="218"/>
      <c r="E27" s="219"/>
      <c r="F27" s="219"/>
      <c r="G27" s="219"/>
      <c r="H27" s="135"/>
      <c r="I27" s="136"/>
      <c r="J27" s="135"/>
      <c r="K27" s="135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6" t="s">
        <v>0</v>
      </c>
      <c r="B1" s="100" t="s">
        <v>199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170" t="s">
        <v>62</v>
      </c>
      <c r="C3" s="170"/>
      <c r="D3" s="171"/>
    </row>
    <row r="4" spans="1:11">
      <c r="A4" s="74" t="s">
        <v>63</v>
      </c>
      <c r="B4" s="173" t="s">
        <v>200</v>
      </c>
      <c r="C4" s="174"/>
      <c r="D4" s="175"/>
    </row>
    <row r="5" spans="1:11">
      <c r="A5" s="74" t="s">
        <v>65</v>
      </c>
      <c r="B5" s="176" t="s">
        <v>66</v>
      </c>
      <c r="C5" s="177"/>
      <c r="D5" s="178"/>
    </row>
    <row r="6" spans="1:11" ht="14.25">
      <c r="A6" s="77" t="s">
        <v>67</v>
      </c>
      <c r="B6" s="78">
        <v>0</v>
      </c>
      <c r="C6" s="79" t="s">
        <v>68</v>
      </c>
      <c r="D6" s="80">
        <v>6</v>
      </c>
    </row>
    <row r="7" spans="1:11" ht="14.25">
      <c r="A7" s="81" t="s">
        <v>69</v>
      </c>
      <c r="B7" s="82">
        <v>0</v>
      </c>
      <c r="C7" s="83" t="s">
        <v>70</v>
      </c>
      <c r="D7" s="84">
        <v>6</v>
      </c>
    </row>
    <row r="9" spans="1:1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</row>
    <row r="10" spans="1:1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</row>
    <row r="11" spans="1:1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1">
      <c r="A12" s="183" t="s">
        <v>201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1" ht="93" customHeight="1">
      <c r="A13" s="90" t="s">
        <v>80</v>
      </c>
      <c r="B13" s="92" t="s">
        <v>202</v>
      </c>
      <c r="C13" s="92" t="s">
        <v>203</v>
      </c>
      <c r="D13" s="186" t="s">
        <v>204</v>
      </c>
      <c r="E13" s="187"/>
      <c r="F13" s="187"/>
      <c r="G13" s="188"/>
      <c r="H13" s="94"/>
      <c r="I13" s="96"/>
      <c r="J13" s="92" t="s">
        <v>68</v>
      </c>
      <c r="K13" s="92"/>
    </row>
    <row r="14" spans="1:11" ht="36.950000000000003" customHeight="1">
      <c r="A14" s="90" t="s">
        <v>85</v>
      </c>
      <c r="B14" s="92" t="s">
        <v>205</v>
      </c>
      <c r="C14" s="92" t="s">
        <v>206</v>
      </c>
      <c r="D14" s="186" t="s">
        <v>207</v>
      </c>
      <c r="E14" s="187"/>
      <c r="F14" s="187"/>
      <c r="G14" s="188"/>
      <c r="H14" s="94"/>
      <c r="I14" s="96"/>
      <c r="J14" s="92" t="s">
        <v>68</v>
      </c>
      <c r="K14" s="92"/>
    </row>
    <row r="15" spans="1:11" ht="63.75">
      <c r="A15" s="90" t="s">
        <v>90</v>
      </c>
      <c r="B15" s="92" t="s">
        <v>208</v>
      </c>
      <c r="C15" s="92" t="s">
        <v>209</v>
      </c>
      <c r="D15" s="186" t="s">
        <v>210</v>
      </c>
      <c r="E15" s="187"/>
      <c r="F15" s="187"/>
      <c r="G15" s="188"/>
      <c r="H15" s="94"/>
      <c r="I15" s="96"/>
      <c r="J15" s="92" t="s">
        <v>68</v>
      </c>
      <c r="K15" s="92"/>
    </row>
    <row r="16" spans="1:11" ht="51">
      <c r="A16" s="90" t="s">
        <v>95</v>
      </c>
      <c r="B16" s="92" t="s">
        <v>211</v>
      </c>
      <c r="C16" s="92" t="s">
        <v>212</v>
      </c>
      <c r="D16" s="186" t="s">
        <v>213</v>
      </c>
      <c r="E16" s="187"/>
      <c r="F16" s="187"/>
      <c r="G16" s="188"/>
      <c r="H16" s="94"/>
      <c r="I16" s="96"/>
      <c r="J16" s="92" t="s">
        <v>68</v>
      </c>
      <c r="K16" s="92"/>
    </row>
    <row r="17" spans="1:11" ht="51">
      <c r="A17" s="90" t="s">
        <v>100</v>
      </c>
      <c r="B17" s="92" t="s">
        <v>214</v>
      </c>
      <c r="C17" s="92" t="s">
        <v>215</v>
      </c>
      <c r="D17" s="186" t="s">
        <v>216</v>
      </c>
      <c r="E17" s="187"/>
      <c r="F17" s="187"/>
      <c r="G17" s="188"/>
      <c r="H17" s="94"/>
      <c r="I17" s="96"/>
      <c r="J17" s="92" t="s">
        <v>68</v>
      </c>
      <c r="K17" s="92"/>
    </row>
    <row r="18" spans="1:11" ht="60" customHeight="1">
      <c r="A18" s="90" t="s">
        <v>104</v>
      </c>
      <c r="B18" s="92" t="s">
        <v>217</v>
      </c>
      <c r="C18" s="92" t="s">
        <v>218</v>
      </c>
      <c r="D18" s="186" t="s">
        <v>219</v>
      </c>
      <c r="E18" s="187"/>
      <c r="F18" s="187"/>
      <c r="G18" s="188"/>
      <c r="H18" s="94"/>
      <c r="I18" s="96"/>
      <c r="J18" s="92" t="s">
        <v>68</v>
      </c>
      <c r="K18" s="92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>
      <c r="A3" s="106" t="s">
        <v>61</v>
      </c>
      <c r="B3" s="170" t="s">
        <v>62</v>
      </c>
      <c r="C3" s="170"/>
      <c r="D3" s="171"/>
      <c r="E3" s="71"/>
      <c r="F3" s="71"/>
      <c r="G3" s="71"/>
      <c r="H3" s="71"/>
      <c r="I3" s="172"/>
      <c r="J3" s="172"/>
      <c r="K3" s="172"/>
    </row>
    <row r="4" spans="1:11" ht="14.25">
      <c r="A4" s="74" t="s">
        <v>63</v>
      </c>
      <c r="B4" s="173" t="s">
        <v>221</v>
      </c>
      <c r="C4" s="174"/>
      <c r="D4" s="175"/>
      <c r="E4" s="71"/>
      <c r="F4" s="71"/>
      <c r="G4" s="71"/>
      <c r="H4" s="71"/>
      <c r="I4" s="172"/>
      <c r="J4" s="172"/>
      <c r="K4" s="172"/>
    </row>
    <row r="5" spans="1:11">
      <c r="A5" s="107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</row>
    <row r="6" spans="1:11" ht="14.25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12</v>
      </c>
      <c r="E6" s="72"/>
      <c r="F6" s="72"/>
      <c r="G6" s="72"/>
      <c r="H6" s="72"/>
      <c r="I6" s="172"/>
      <c r="J6" s="172"/>
      <c r="K6" s="172"/>
    </row>
    <row r="7" spans="1:11" ht="14.25">
      <c r="A7" s="81" t="s">
        <v>69</v>
      </c>
      <c r="B7" s="82">
        <f>COUNTIF(J12:J23,"Fail")</f>
        <v>0</v>
      </c>
      <c r="C7" s="83" t="s">
        <v>70</v>
      </c>
      <c r="D7" s="84">
        <f>COUNTA(A12:A42)-4</f>
        <v>12</v>
      </c>
      <c r="E7" s="85"/>
      <c r="F7" s="85"/>
      <c r="G7" s="85"/>
      <c r="H7" s="85"/>
      <c r="I7" s="172"/>
      <c r="J7" s="172"/>
      <c r="K7" s="172"/>
    </row>
    <row r="8" spans="1:11" ht="14.25">
      <c r="A8" s="180"/>
      <c r="B8" s="180"/>
      <c r="C8" s="180"/>
      <c r="D8" s="180"/>
      <c r="E8" s="72"/>
      <c r="F8" s="72"/>
      <c r="G8" s="72"/>
      <c r="H8" s="72"/>
      <c r="I8" s="72"/>
      <c r="J8" s="86"/>
      <c r="K8" s="86"/>
    </row>
    <row r="9" spans="1:11" ht="13.5" customHeight="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</row>
    <row r="10" spans="1:1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</row>
    <row r="11" spans="1:1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1" ht="16.5" customHeight="1">
      <c r="A12" s="183" t="s">
        <v>222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1" ht="54" customHeight="1">
      <c r="A13" s="90" t="s">
        <v>80</v>
      </c>
      <c r="B13" s="91" t="s">
        <v>223</v>
      </c>
      <c r="C13" s="92" t="s">
        <v>224</v>
      </c>
      <c r="D13" s="220" t="s">
        <v>225</v>
      </c>
      <c r="E13" s="221"/>
      <c r="F13" s="221"/>
      <c r="G13" s="124"/>
      <c r="H13" s="94"/>
      <c r="I13" s="96"/>
      <c r="J13" s="92" t="s">
        <v>68</v>
      </c>
      <c r="K13" s="92"/>
    </row>
    <row r="14" spans="1:11" ht="54.75" customHeight="1">
      <c r="A14" s="90" t="s">
        <v>85</v>
      </c>
      <c r="B14" s="91" t="s">
        <v>226</v>
      </c>
      <c r="C14" s="92" t="s">
        <v>227</v>
      </c>
      <c r="D14" s="194" t="s">
        <v>228</v>
      </c>
      <c r="E14" s="187"/>
      <c r="F14" s="187"/>
      <c r="G14" s="124"/>
      <c r="H14" s="94"/>
      <c r="I14" s="96"/>
      <c r="J14" s="92" t="s">
        <v>68</v>
      </c>
      <c r="K14" s="92"/>
    </row>
    <row r="15" spans="1:11" ht="87.95" customHeight="1">
      <c r="A15" s="90" t="s">
        <v>90</v>
      </c>
      <c r="B15" s="91" t="s">
        <v>229</v>
      </c>
      <c r="C15" s="93" t="s">
        <v>230</v>
      </c>
      <c r="D15" s="194" t="s">
        <v>231</v>
      </c>
      <c r="E15" s="187"/>
      <c r="F15" s="187"/>
      <c r="G15" s="95"/>
      <c r="H15" s="95"/>
      <c r="I15" s="125"/>
      <c r="J15" s="92" t="s">
        <v>68</v>
      </c>
      <c r="K15" s="92"/>
    </row>
    <row r="16" spans="1:11" ht="18" customHeight="1">
      <c r="A16" s="183" t="s">
        <v>232</v>
      </c>
      <c r="B16" s="184"/>
      <c r="C16" s="184"/>
      <c r="D16" s="126"/>
      <c r="E16" s="126"/>
      <c r="F16" s="126"/>
      <c r="G16" s="126"/>
      <c r="H16" s="88"/>
      <c r="I16" s="88"/>
      <c r="J16" s="88"/>
      <c r="K16" s="89"/>
    </row>
    <row r="17" spans="1:11" ht="78" customHeight="1">
      <c r="A17" s="90" t="s">
        <v>95</v>
      </c>
      <c r="B17" s="127" t="s">
        <v>233</v>
      </c>
      <c r="C17" s="98" t="s">
        <v>234</v>
      </c>
      <c r="D17" s="220" t="s">
        <v>235</v>
      </c>
      <c r="E17" s="221"/>
      <c r="F17" s="221"/>
      <c r="G17" s="124"/>
      <c r="H17" s="94"/>
      <c r="I17" s="93"/>
      <c r="J17" s="92" t="s">
        <v>68</v>
      </c>
      <c r="K17" s="92"/>
    </row>
    <row r="18" spans="1:11" ht="79.5" customHeight="1">
      <c r="A18" s="90" t="s">
        <v>100</v>
      </c>
      <c r="B18" s="123" t="s">
        <v>236</v>
      </c>
      <c r="C18" s="93" t="s">
        <v>237</v>
      </c>
      <c r="D18" s="194" t="s">
        <v>238</v>
      </c>
      <c r="E18" s="187"/>
      <c r="F18" s="187"/>
      <c r="G18" s="95"/>
      <c r="H18" s="95"/>
      <c r="I18" s="92"/>
      <c r="J18" s="92" t="s">
        <v>68</v>
      </c>
      <c r="K18" s="92"/>
    </row>
    <row r="19" spans="1:11" ht="78.75" customHeight="1">
      <c r="A19" s="90" t="s">
        <v>104</v>
      </c>
      <c r="B19" s="123" t="s">
        <v>239</v>
      </c>
      <c r="C19" s="93" t="s">
        <v>240</v>
      </c>
      <c r="D19" s="194" t="s">
        <v>238</v>
      </c>
      <c r="E19" s="187"/>
      <c r="F19" s="187"/>
      <c r="G19" s="95"/>
      <c r="H19" s="95"/>
      <c r="I19" s="92"/>
      <c r="J19" s="92" t="s">
        <v>68</v>
      </c>
      <c r="K19" s="92"/>
    </row>
    <row r="20" spans="1:11" ht="19.5" customHeight="1">
      <c r="A20" s="183" t="s">
        <v>241</v>
      </c>
      <c r="B20" s="184"/>
      <c r="C20" s="184"/>
      <c r="D20" s="126"/>
      <c r="E20" s="126"/>
      <c r="F20" s="126"/>
      <c r="G20" s="126"/>
      <c r="H20" s="88"/>
      <c r="I20" s="88"/>
      <c r="J20" s="88"/>
      <c r="K20" s="89"/>
    </row>
    <row r="21" spans="1:11" ht="66" customHeight="1">
      <c r="A21" s="90" t="s">
        <v>109</v>
      </c>
      <c r="B21" s="98" t="s">
        <v>242</v>
      </c>
      <c r="C21" s="98" t="s">
        <v>243</v>
      </c>
      <c r="D21" s="194" t="s">
        <v>244</v>
      </c>
      <c r="E21" s="187"/>
      <c r="F21" s="187"/>
      <c r="G21" s="95"/>
      <c r="H21" s="94"/>
      <c r="I21" s="93"/>
      <c r="J21" s="92" t="s">
        <v>68</v>
      </c>
      <c r="K21" s="92"/>
    </row>
    <row r="22" spans="1:11" ht="66.75" customHeight="1">
      <c r="A22" s="90" t="s">
        <v>113</v>
      </c>
      <c r="B22" s="92" t="s">
        <v>245</v>
      </c>
      <c r="C22" s="92" t="s">
        <v>246</v>
      </c>
      <c r="D22" s="194" t="s">
        <v>247</v>
      </c>
      <c r="E22" s="187"/>
      <c r="F22" s="187"/>
      <c r="G22" s="95"/>
      <c r="H22" s="92"/>
      <c r="I22" s="92"/>
      <c r="J22" s="92" t="s">
        <v>68</v>
      </c>
      <c r="K22" s="92"/>
    </row>
    <row r="23" spans="1:11" ht="65.25" customHeight="1">
      <c r="A23" s="90" t="s">
        <v>118</v>
      </c>
      <c r="B23" s="92" t="s">
        <v>248</v>
      </c>
      <c r="C23" s="92" t="s">
        <v>249</v>
      </c>
      <c r="D23" s="220" t="s">
        <v>247</v>
      </c>
      <c r="E23" s="221"/>
      <c r="F23" s="221"/>
      <c r="G23" s="124"/>
      <c r="H23" s="98"/>
      <c r="I23" s="98"/>
      <c r="J23" s="98" t="s">
        <v>68</v>
      </c>
      <c r="K23" s="98"/>
    </row>
    <row r="24" spans="1:11" ht="18" customHeight="1">
      <c r="A24" s="183" t="s">
        <v>250</v>
      </c>
      <c r="B24" s="184"/>
      <c r="C24" s="184"/>
      <c r="D24" s="222"/>
      <c r="E24" s="222"/>
      <c r="F24" s="222"/>
      <c r="G24" s="88"/>
      <c r="H24" s="88"/>
      <c r="I24" s="88"/>
      <c r="J24" s="88"/>
      <c r="K24" s="89"/>
    </row>
    <row r="25" spans="1:11" ht="79.5" customHeight="1">
      <c r="A25" s="128" t="s">
        <v>122</v>
      </c>
      <c r="B25" s="92" t="s">
        <v>251</v>
      </c>
      <c r="C25" s="92" t="s">
        <v>252</v>
      </c>
      <c r="D25" s="220" t="s">
        <v>253</v>
      </c>
      <c r="E25" s="221"/>
      <c r="F25" s="221"/>
      <c r="G25" s="124"/>
      <c r="H25" s="98"/>
      <c r="I25" s="98"/>
      <c r="J25" s="98" t="s">
        <v>68</v>
      </c>
      <c r="K25" s="98"/>
    </row>
    <row r="26" spans="1:11" ht="81.75" customHeight="1">
      <c r="A26" s="128" t="s">
        <v>126</v>
      </c>
      <c r="B26" s="92" t="s">
        <v>254</v>
      </c>
      <c r="C26" s="92" t="s">
        <v>255</v>
      </c>
      <c r="D26" s="199" t="s">
        <v>256</v>
      </c>
      <c r="E26" s="199"/>
      <c r="F26" s="194"/>
      <c r="G26" s="95"/>
      <c r="H26" s="95"/>
      <c r="I26" s="92"/>
      <c r="J26" s="92" t="s">
        <v>68</v>
      </c>
      <c r="K26" s="92"/>
    </row>
    <row r="27" spans="1:11" ht="42" customHeight="1">
      <c r="A27" s="128" t="s">
        <v>161</v>
      </c>
      <c r="B27" s="92" t="s">
        <v>257</v>
      </c>
      <c r="C27" s="92" t="s">
        <v>258</v>
      </c>
      <c r="D27" s="199" t="s">
        <v>259</v>
      </c>
      <c r="E27" s="199"/>
      <c r="F27" s="194"/>
      <c r="G27" s="95"/>
      <c r="H27" s="92"/>
      <c r="I27" s="92"/>
      <c r="J27" s="92" t="s">
        <v>68</v>
      </c>
      <c r="K27" s="92"/>
    </row>
    <row r="28" spans="1:11">
      <c r="A28" s="129"/>
    </row>
    <row r="29" spans="1:11">
      <c r="A29" s="129"/>
    </row>
    <row r="31" spans="1:11">
      <c r="A31" s="129"/>
      <c r="C31" s="130"/>
    </row>
    <row r="32" spans="1:11">
      <c r="A32" s="129"/>
    </row>
    <row r="34" spans="1:1">
      <c r="A34" s="129"/>
    </row>
    <row r="35" spans="1:1">
      <c r="A35" s="129"/>
    </row>
    <row r="37" spans="1:1">
      <c r="A37" s="129"/>
    </row>
    <row r="38" spans="1:1">
      <c r="A38" s="129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0" t="s">
        <v>62</v>
      </c>
      <c r="C3" s="170"/>
      <c r="D3" s="171"/>
      <c r="E3" s="71"/>
      <c r="F3" s="71"/>
      <c r="G3" s="71"/>
      <c r="H3" s="71"/>
      <c r="I3" s="172"/>
      <c r="J3" s="172"/>
      <c r="K3" s="172"/>
      <c r="L3" s="73"/>
    </row>
    <row r="4" spans="1:12" s="61" customFormat="1" ht="13.15" customHeight="1">
      <c r="A4" s="74" t="s">
        <v>63</v>
      </c>
      <c r="B4" s="173" t="s">
        <v>260</v>
      </c>
      <c r="C4" s="174"/>
      <c r="D4" s="175"/>
      <c r="E4" s="71"/>
      <c r="F4" s="71"/>
      <c r="G4" s="71"/>
      <c r="H4" s="71"/>
      <c r="I4" s="172"/>
      <c r="J4" s="172"/>
      <c r="K4" s="172"/>
      <c r="L4" s="73"/>
    </row>
    <row r="5" spans="1:12" s="62" customFormat="1" ht="12.75">
      <c r="A5" s="107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2"/>
      <c r="J6" s="172"/>
      <c r="K6" s="172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COUNTA(A12:A41)-4</f>
        <v>26</v>
      </c>
      <c r="E7" s="85"/>
      <c r="F7" s="85"/>
      <c r="G7" s="85"/>
      <c r="H7" s="85"/>
      <c r="I7" s="172"/>
      <c r="J7" s="172"/>
      <c r="K7" s="172"/>
      <c r="L7" s="73"/>
    </row>
    <row r="8" spans="1:12" s="61" customFormat="1" ht="15" customHeight="1">
      <c r="A8" s="180"/>
      <c r="B8" s="180"/>
      <c r="C8" s="180"/>
      <c r="D8" s="180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  <c r="L9" s="87"/>
    </row>
    <row r="10" spans="1:12" s="61" customFormat="1" ht="12" customHeight="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  <c r="L10" s="73"/>
    </row>
    <row r="11" spans="1:12" s="64" customFormat="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2" s="65" customFormat="1" ht="24.6" customHeight="1">
      <c r="A12" s="223" t="s">
        <v>261</v>
      </c>
      <c r="B12" s="224"/>
      <c r="C12" s="224"/>
      <c r="D12" s="224"/>
      <c r="E12" s="224"/>
      <c r="F12" s="224"/>
      <c r="G12" s="224"/>
      <c r="H12" s="224"/>
      <c r="I12" s="224"/>
      <c r="J12" s="224"/>
      <c r="K12" s="225"/>
    </row>
    <row r="13" spans="1:12" s="65" customFormat="1" ht="81.599999999999994" customHeight="1" outlineLevel="1">
      <c r="A13" s="108" t="s">
        <v>80</v>
      </c>
      <c r="B13" s="109" t="s">
        <v>262</v>
      </c>
      <c r="C13" s="109" t="s">
        <v>263</v>
      </c>
      <c r="D13" s="194" t="s">
        <v>264</v>
      </c>
      <c r="E13" s="187"/>
      <c r="F13" s="187"/>
      <c r="G13" s="95"/>
      <c r="H13" s="94"/>
      <c r="I13" s="96"/>
      <c r="J13" s="92"/>
      <c r="K13" s="92"/>
    </row>
    <row r="14" spans="1:12" s="65" customFormat="1" ht="91.15" customHeight="1" outlineLevel="1">
      <c r="A14" s="110" t="s">
        <v>85</v>
      </c>
      <c r="B14" s="111" t="s">
        <v>265</v>
      </c>
      <c r="C14" s="111" t="s">
        <v>266</v>
      </c>
      <c r="D14" s="194" t="s">
        <v>267</v>
      </c>
      <c r="E14" s="187"/>
      <c r="F14" s="187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268</v>
      </c>
      <c r="C15" s="109" t="s">
        <v>269</v>
      </c>
      <c r="D15" s="194" t="s">
        <v>270</v>
      </c>
      <c r="E15" s="187"/>
      <c r="F15" s="187"/>
      <c r="G15" s="95"/>
      <c r="H15" s="94"/>
      <c r="I15" s="93"/>
      <c r="J15" s="92"/>
      <c r="K15" s="92"/>
    </row>
    <row r="16" spans="1:12" ht="70.150000000000006" customHeight="1">
      <c r="A16" s="110" t="s">
        <v>95</v>
      </c>
      <c r="B16" s="111" t="s">
        <v>271</v>
      </c>
      <c r="C16" s="111" t="s">
        <v>272</v>
      </c>
      <c r="D16" s="194" t="s">
        <v>273</v>
      </c>
      <c r="E16" s="187"/>
      <c r="F16" s="187"/>
      <c r="G16" s="95"/>
      <c r="H16" s="94"/>
      <c r="I16" s="93"/>
      <c r="J16" s="92"/>
      <c r="K16" s="92"/>
    </row>
    <row r="17" spans="1:11" ht="70.150000000000006" customHeight="1">
      <c r="A17" s="108" t="s">
        <v>100</v>
      </c>
      <c r="B17" s="109" t="s">
        <v>274</v>
      </c>
      <c r="C17" s="109" t="s">
        <v>275</v>
      </c>
      <c r="D17" s="194" t="s">
        <v>276</v>
      </c>
      <c r="E17" s="187"/>
      <c r="F17" s="187"/>
      <c r="G17" s="95"/>
      <c r="H17" s="94"/>
      <c r="I17" s="93"/>
      <c r="J17" s="92"/>
      <c r="K17" s="92"/>
    </row>
    <row r="18" spans="1:11" ht="70.150000000000006" customHeight="1">
      <c r="A18" s="110" t="s">
        <v>104</v>
      </c>
      <c r="B18" s="111" t="s">
        <v>277</v>
      </c>
      <c r="C18" s="111" t="s">
        <v>278</v>
      </c>
      <c r="D18" s="194" t="s">
        <v>279</v>
      </c>
      <c r="E18" s="187"/>
      <c r="F18" s="187"/>
      <c r="G18" s="95"/>
      <c r="H18" s="94"/>
      <c r="I18" s="96"/>
      <c r="J18" s="92"/>
      <c r="K18" s="92"/>
    </row>
    <row r="19" spans="1:11" ht="70.150000000000006" customHeight="1">
      <c r="A19" s="108" t="s">
        <v>109</v>
      </c>
      <c r="B19" s="109" t="s">
        <v>280</v>
      </c>
      <c r="C19" s="109" t="s">
        <v>281</v>
      </c>
      <c r="D19" s="194" t="s">
        <v>282</v>
      </c>
      <c r="E19" s="187"/>
      <c r="F19" s="187"/>
      <c r="G19" s="95"/>
      <c r="H19" s="94"/>
      <c r="I19" s="93"/>
      <c r="J19" s="92"/>
      <c r="K19" s="92"/>
    </row>
    <row r="20" spans="1:11" ht="70.150000000000006" customHeight="1">
      <c r="A20" s="110" t="s">
        <v>113</v>
      </c>
      <c r="B20" s="111" t="s">
        <v>283</v>
      </c>
      <c r="C20" s="111" t="s">
        <v>284</v>
      </c>
      <c r="D20" s="194" t="s">
        <v>285</v>
      </c>
      <c r="E20" s="187"/>
      <c r="F20" s="187"/>
      <c r="G20" s="95"/>
      <c r="H20" s="94"/>
      <c r="I20" s="93"/>
      <c r="J20" s="92"/>
      <c r="K20" s="92"/>
    </row>
    <row r="21" spans="1:11" ht="70.150000000000006" customHeight="1">
      <c r="A21" s="108" t="s">
        <v>118</v>
      </c>
      <c r="B21" s="109" t="s">
        <v>286</v>
      </c>
      <c r="C21" s="109" t="s">
        <v>287</v>
      </c>
      <c r="D21" s="194" t="s">
        <v>288</v>
      </c>
      <c r="E21" s="187"/>
      <c r="F21" s="187"/>
      <c r="G21" s="95"/>
      <c r="H21" s="94"/>
      <c r="I21" s="93"/>
      <c r="J21" s="92"/>
      <c r="K21" s="92"/>
    </row>
    <row r="22" spans="1:11" ht="70.150000000000006" customHeight="1">
      <c r="A22" s="110" t="s">
        <v>122</v>
      </c>
      <c r="B22" s="111" t="s">
        <v>289</v>
      </c>
      <c r="C22" s="111" t="s">
        <v>290</v>
      </c>
      <c r="D22" s="194" t="s">
        <v>291</v>
      </c>
      <c r="E22" s="187"/>
      <c r="F22" s="187"/>
      <c r="G22" s="95"/>
      <c r="H22" s="94"/>
      <c r="I22" s="93"/>
      <c r="J22" s="92"/>
      <c r="K22" s="92"/>
    </row>
    <row r="23" spans="1:11" ht="70.150000000000006" customHeight="1">
      <c r="A23" s="108" t="s">
        <v>126</v>
      </c>
      <c r="B23" s="109" t="s">
        <v>292</v>
      </c>
      <c r="C23" s="109" t="s">
        <v>293</v>
      </c>
      <c r="D23" s="194" t="s">
        <v>294</v>
      </c>
      <c r="E23" s="187"/>
      <c r="F23" s="187"/>
      <c r="G23" s="95"/>
      <c r="H23" s="94"/>
      <c r="I23" s="96"/>
      <c r="J23" s="92"/>
      <c r="K23" s="92"/>
    </row>
    <row r="24" spans="1:11" ht="70.150000000000006" customHeight="1">
      <c r="A24" s="110" t="s">
        <v>161</v>
      </c>
      <c r="B24" s="111" t="s">
        <v>295</v>
      </c>
      <c r="C24" s="111" t="s">
        <v>296</v>
      </c>
      <c r="D24" s="194" t="s">
        <v>297</v>
      </c>
      <c r="E24" s="187"/>
      <c r="F24" s="187"/>
      <c r="G24" s="95"/>
      <c r="H24" s="94"/>
      <c r="I24" s="93"/>
      <c r="J24" s="92"/>
      <c r="K24" s="92"/>
    </row>
    <row r="25" spans="1:11" ht="70.150000000000006" customHeight="1">
      <c r="A25" s="108" t="s">
        <v>298</v>
      </c>
      <c r="B25" s="109" t="s">
        <v>299</v>
      </c>
      <c r="C25" s="109" t="s">
        <v>300</v>
      </c>
      <c r="D25" s="194" t="s">
        <v>301</v>
      </c>
      <c r="E25" s="187"/>
      <c r="F25" s="187"/>
      <c r="G25" s="95"/>
      <c r="H25" s="94"/>
      <c r="I25" s="93"/>
      <c r="J25" s="92"/>
      <c r="K25" s="92"/>
    </row>
    <row r="26" spans="1:11" ht="70.150000000000006" customHeight="1">
      <c r="A26" s="110" t="s">
        <v>302</v>
      </c>
      <c r="B26" s="111" t="s">
        <v>303</v>
      </c>
      <c r="C26" s="111" t="s">
        <v>304</v>
      </c>
      <c r="D26" s="194" t="s">
        <v>305</v>
      </c>
      <c r="E26" s="187"/>
      <c r="F26" s="187"/>
      <c r="G26" s="95"/>
      <c r="H26" s="94"/>
      <c r="I26" s="93"/>
      <c r="J26" s="92"/>
      <c r="K26" s="92"/>
    </row>
    <row r="27" spans="1:11" ht="25.15" customHeight="1">
      <c r="A27" s="226" t="s">
        <v>306</v>
      </c>
      <c r="B27" s="184"/>
      <c r="C27" s="184"/>
      <c r="D27" s="184"/>
      <c r="E27" s="184"/>
      <c r="F27" s="184"/>
      <c r="G27" s="184"/>
      <c r="H27" s="184"/>
      <c r="I27" s="184"/>
      <c r="J27" s="184"/>
      <c r="K27" s="185"/>
    </row>
    <row r="28" spans="1:11" ht="70.150000000000006" customHeight="1">
      <c r="A28" s="108" t="s">
        <v>307</v>
      </c>
      <c r="B28" s="109" t="s">
        <v>308</v>
      </c>
      <c r="C28" s="109" t="s">
        <v>309</v>
      </c>
      <c r="D28" s="194" t="s">
        <v>310</v>
      </c>
      <c r="E28" s="187"/>
      <c r="F28" s="187"/>
      <c r="G28" s="95"/>
      <c r="H28" s="94"/>
      <c r="I28" s="96"/>
      <c r="J28" s="92"/>
      <c r="K28" s="92"/>
    </row>
    <row r="29" spans="1:11" ht="70.150000000000006" customHeight="1">
      <c r="A29" s="110" t="s">
        <v>311</v>
      </c>
      <c r="B29" s="111" t="s">
        <v>312</v>
      </c>
      <c r="C29" s="111" t="s">
        <v>313</v>
      </c>
      <c r="D29" s="194" t="s">
        <v>314</v>
      </c>
      <c r="E29" s="187"/>
      <c r="F29" s="187"/>
      <c r="G29" s="95"/>
      <c r="H29" s="94"/>
      <c r="I29" s="93"/>
      <c r="J29" s="92"/>
      <c r="K29" s="92"/>
    </row>
    <row r="30" spans="1:11" ht="70.150000000000006" customHeight="1">
      <c r="A30" s="108" t="s">
        <v>315</v>
      </c>
      <c r="B30" s="109" t="s">
        <v>316</v>
      </c>
      <c r="C30" s="109" t="s">
        <v>317</v>
      </c>
      <c r="D30" s="194" t="s">
        <v>318</v>
      </c>
      <c r="E30" s="187"/>
      <c r="F30" s="187"/>
      <c r="G30" s="95"/>
      <c r="H30" s="94"/>
      <c r="I30" s="93"/>
      <c r="J30" s="92"/>
      <c r="K30" s="92"/>
    </row>
    <row r="31" spans="1:11" ht="70.150000000000006" customHeight="1">
      <c r="A31" s="110" t="s">
        <v>319</v>
      </c>
      <c r="B31" s="111" t="s">
        <v>320</v>
      </c>
      <c r="C31" s="111" t="s">
        <v>321</v>
      </c>
      <c r="D31" s="194" t="s">
        <v>322</v>
      </c>
      <c r="E31" s="187"/>
      <c r="F31" s="187"/>
      <c r="G31" s="95"/>
      <c r="H31" s="94"/>
      <c r="I31" s="93"/>
      <c r="J31" s="92"/>
      <c r="K31" s="92"/>
    </row>
    <row r="32" spans="1:11" ht="70.150000000000006" customHeight="1">
      <c r="A32" s="108" t="s">
        <v>323</v>
      </c>
      <c r="B32" s="109" t="s">
        <v>324</v>
      </c>
      <c r="C32" s="109" t="s">
        <v>325</v>
      </c>
      <c r="D32" s="194" t="s">
        <v>326</v>
      </c>
      <c r="E32" s="187"/>
      <c r="F32" s="187"/>
      <c r="G32" s="95"/>
      <c r="H32" s="94"/>
      <c r="I32" s="93"/>
      <c r="J32" s="92"/>
      <c r="K32" s="92"/>
    </row>
    <row r="33" spans="1:11" ht="70.150000000000006" customHeight="1">
      <c r="A33" s="110" t="s">
        <v>327</v>
      </c>
      <c r="B33" s="111" t="s">
        <v>328</v>
      </c>
      <c r="C33" s="111" t="s">
        <v>329</v>
      </c>
      <c r="D33" s="194" t="s">
        <v>322</v>
      </c>
      <c r="E33" s="187"/>
      <c r="F33" s="187"/>
      <c r="G33" s="95"/>
      <c r="H33" s="94"/>
      <c r="I33" s="93"/>
      <c r="J33" s="92"/>
      <c r="K33" s="92"/>
    </row>
    <row r="34" spans="1:11" ht="70.150000000000006" customHeight="1">
      <c r="A34" s="108" t="s">
        <v>330</v>
      </c>
      <c r="B34" s="109" t="s">
        <v>331</v>
      </c>
      <c r="C34" s="109" t="s">
        <v>332</v>
      </c>
      <c r="D34" s="194" t="s">
        <v>333</v>
      </c>
      <c r="E34" s="187"/>
      <c r="F34" s="187"/>
      <c r="G34" s="95"/>
      <c r="H34" s="94"/>
      <c r="I34" s="93"/>
      <c r="J34" s="92"/>
      <c r="K34" s="92"/>
    </row>
    <row r="35" spans="1:11" ht="70.150000000000006" customHeight="1">
      <c r="A35" s="110" t="s">
        <v>334</v>
      </c>
      <c r="B35" s="111" t="s">
        <v>335</v>
      </c>
      <c r="C35" s="111" t="s">
        <v>336</v>
      </c>
      <c r="D35" s="194" t="s">
        <v>337</v>
      </c>
      <c r="E35" s="187"/>
      <c r="F35" s="187"/>
      <c r="G35" s="95"/>
      <c r="H35" s="94"/>
      <c r="I35" s="93"/>
      <c r="J35" s="92"/>
      <c r="K35" s="92"/>
    </row>
    <row r="36" spans="1:11" ht="28.15" customHeight="1">
      <c r="A36" s="226" t="s">
        <v>338</v>
      </c>
      <c r="B36" s="184"/>
      <c r="C36" s="184"/>
      <c r="D36" s="184"/>
      <c r="E36" s="184"/>
      <c r="F36" s="184"/>
      <c r="G36" s="184"/>
      <c r="H36" s="184"/>
      <c r="I36" s="184"/>
      <c r="J36" s="184"/>
      <c r="K36" s="185"/>
    </row>
    <row r="37" spans="1:11" ht="70.150000000000006" customHeight="1">
      <c r="A37" s="108" t="s">
        <v>339</v>
      </c>
      <c r="B37" s="109" t="s">
        <v>340</v>
      </c>
      <c r="C37" s="109" t="s">
        <v>341</v>
      </c>
      <c r="D37" s="194" t="s">
        <v>342</v>
      </c>
      <c r="E37" s="187"/>
      <c r="F37" s="187"/>
      <c r="G37" s="95"/>
      <c r="H37" s="94"/>
      <c r="I37" s="93"/>
      <c r="J37" s="92"/>
      <c r="K37" s="92"/>
    </row>
    <row r="38" spans="1:11" ht="70.150000000000006" customHeight="1">
      <c r="A38" s="110" t="s">
        <v>343</v>
      </c>
      <c r="B38" s="111" t="s">
        <v>344</v>
      </c>
      <c r="C38" s="111" t="s">
        <v>345</v>
      </c>
      <c r="D38" s="194" t="s">
        <v>346</v>
      </c>
      <c r="E38" s="187"/>
      <c r="F38" s="187"/>
      <c r="G38" s="95"/>
      <c r="H38" s="94"/>
      <c r="I38" s="93"/>
      <c r="J38" s="92"/>
      <c r="K38" s="92"/>
    </row>
    <row r="39" spans="1:11" ht="28.9" customHeight="1">
      <c r="A39" s="226" t="s">
        <v>347</v>
      </c>
      <c r="B39" s="184"/>
      <c r="C39" s="184"/>
      <c r="D39" s="184"/>
      <c r="E39" s="184"/>
      <c r="F39" s="184"/>
      <c r="G39" s="184"/>
      <c r="H39" s="184"/>
      <c r="I39" s="184"/>
      <c r="J39" s="184"/>
      <c r="K39" s="185"/>
    </row>
    <row r="40" spans="1:11" ht="70.150000000000006" customHeight="1">
      <c r="A40" s="108" t="s">
        <v>348</v>
      </c>
      <c r="B40" s="109" t="s">
        <v>349</v>
      </c>
      <c r="C40" s="109" t="s">
        <v>350</v>
      </c>
      <c r="D40" s="194" t="s">
        <v>351</v>
      </c>
      <c r="E40" s="187"/>
      <c r="F40" s="187"/>
      <c r="G40" s="95"/>
      <c r="H40" s="94"/>
      <c r="I40" s="93"/>
      <c r="J40" s="92"/>
      <c r="K40" s="92"/>
    </row>
    <row r="41" spans="1:11" ht="70.150000000000006" customHeight="1">
      <c r="A41" s="110" t="s">
        <v>352</v>
      </c>
      <c r="B41" s="111" t="s">
        <v>353</v>
      </c>
      <c r="C41" s="111" t="s">
        <v>354</v>
      </c>
      <c r="D41" s="194" t="s">
        <v>355</v>
      </c>
      <c r="E41" s="187"/>
      <c r="F41" s="187"/>
      <c r="G41" s="95"/>
      <c r="H41" s="94"/>
      <c r="I41" s="93"/>
      <c r="J41" s="92"/>
      <c r="K41" s="92"/>
    </row>
    <row r="42" spans="1:11" ht="12" customHeight="1">
      <c r="A42" s="90"/>
      <c r="B42" s="99"/>
      <c r="C42" s="92"/>
      <c r="D42" s="227"/>
      <c r="E42" s="228"/>
      <c r="F42" s="228"/>
      <c r="G42" s="95"/>
      <c r="H42" s="94"/>
      <c r="I42" s="93"/>
      <c r="J42" s="92"/>
      <c r="K42" s="92"/>
    </row>
    <row r="43" spans="1:11" ht="12" customHeight="1">
      <c r="A43" s="90"/>
      <c r="B43" s="97"/>
      <c r="C43" s="98"/>
      <c r="D43" s="227"/>
      <c r="E43" s="187"/>
      <c r="F43" s="187"/>
      <c r="G43" s="95"/>
      <c r="H43" s="94"/>
      <c r="I43" s="93"/>
      <c r="J43" s="92"/>
      <c r="K43" s="92"/>
    </row>
    <row r="44" spans="1:11" ht="12" customHeight="1">
      <c r="A44" s="90"/>
      <c r="B44" s="99"/>
      <c r="C44" s="92"/>
      <c r="D44" s="227"/>
      <c r="E44" s="228"/>
      <c r="F44" s="228"/>
      <c r="G44" s="95"/>
      <c r="H44" s="94"/>
      <c r="I44" s="93"/>
      <c r="J44" s="92"/>
      <c r="K44" s="92"/>
    </row>
    <row r="45" spans="1:11" ht="12" customHeight="1">
      <c r="A45" s="90"/>
      <c r="B45" s="97"/>
      <c r="C45" s="98"/>
      <c r="D45" s="227"/>
      <c r="E45" s="187"/>
      <c r="F45" s="187"/>
      <c r="G45" s="95"/>
      <c r="H45" s="94"/>
      <c r="I45" s="93"/>
      <c r="J45" s="92"/>
      <c r="K45" s="92"/>
    </row>
    <row r="46" spans="1:11" ht="12" customHeight="1">
      <c r="A46" s="90"/>
      <c r="B46" s="99"/>
      <c r="C46" s="92"/>
      <c r="D46" s="227"/>
      <c r="E46" s="228"/>
      <c r="F46" s="228"/>
      <c r="G46" s="95"/>
      <c r="H46" s="94"/>
      <c r="I46" s="93"/>
      <c r="J46" s="92"/>
      <c r="K46" s="92"/>
    </row>
    <row r="47" spans="1:11" ht="12" customHeight="1">
      <c r="A47" s="90"/>
      <c r="B47" s="97"/>
      <c r="C47" s="98"/>
      <c r="D47" s="227"/>
      <c r="E47" s="187"/>
      <c r="F47" s="187"/>
      <c r="G47" s="95"/>
      <c r="H47" s="94"/>
      <c r="I47" s="93"/>
      <c r="J47" s="92"/>
      <c r="K47" s="92"/>
    </row>
    <row r="48" spans="1:11" ht="12" customHeight="1">
      <c r="A48" s="90"/>
      <c r="B48" s="99"/>
      <c r="C48" s="92"/>
      <c r="D48" s="227"/>
      <c r="E48" s="228"/>
      <c r="F48" s="228"/>
      <c r="G48" s="95"/>
      <c r="H48" s="94"/>
      <c r="I48" s="93"/>
      <c r="J48" s="92"/>
      <c r="K48" s="92"/>
    </row>
    <row r="49" spans="1:11" ht="12" customHeight="1">
      <c r="A49" s="90"/>
      <c r="B49" s="97"/>
      <c r="C49" s="98"/>
      <c r="D49" s="227"/>
      <c r="E49" s="187"/>
      <c r="F49" s="187"/>
      <c r="G49" s="95"/>
      <c r="H49" s="94"/>
      <c r="I49" s="93"/>
      <c r="J49" s="92"/>
      <c r="K49" s="92"/>
    </row>
    <row r="50" spans="1:11" ht="12" customHeight="1">
      <c r="A50" s="90"/>
      <c r="B50" s="99"/>
      <c r="C50" s="92"/>
      <c r="D50" s="227"/>
      <c r="E50" s="228"/>
      <c r="F50" s="228"/>
      <c r="G50" s="95"/>
      <c r="H50" s="94"/>
      <c r="I50" s="93"/>
      <c r="J50" s="92"/>
      <c r="K50" s="92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0" t="s">
        <v>62</v>
      </c>
      <c r="C3" s="170"/>
      <c r="D3" s="171"/>
      <c r="E3" s="71"/>
      <c r="F3" s="71"/>
      <c r="G3" s="71"/>
      <c r="H3" s="71"/>
      <c r="I3" s="172"/>
      <c r="J3" s="172"/>
      <c r="K3" s="172"/>
      <c r="L3" s="73"/>
    </row>
    <row r="4" spans="1:12" s="61" customFormat="1" ht="13.15" customHeight="1">
      <c r="A4" s="74" t="s">
        <v>63</v>
      </c>
      <c r="B4" s="173" t="s">
        <v>356</v>
      </c>
      <c r="C4" s="174"/>
      <c r="D4" s="175"/>
      <c r="E4" s="71"/>
      <c r="F4" s="71"/>
      <c r="G4" s="71"/>
      <c r="H4" s="71"/>
      <c r="I4" s="172"/>
      <c r="J4" s="172"/>
      <c r="K4" s="172"/>
      <c r="L4" s="73"/>
    </row>
    <row r="5" spans="1:12" s="62" customFormat="1" ht="25.5">
      <c r="A5" s="107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2"/>
      <c r="J6" s="172"/>
      <c r="K6" s="172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COUNTA(A12:A29)-4</f>
        <v>14</v>
      </c>
      <c r="E7" s="85"/>
      <c r="F7" s="85"/>
      <c r="G7" s="85"/>
      <c r="H7" s="85"/>
      <c r="I7" s="172"/>
      <c r="J7" s="172"/>
      <c r="K7" s="172"/>
      <c r="L7" s="73"/>
    </row>
    <row r="8" spans="1:12" s="61" customFormat="1" ht="15" customHeight="1">
      <c r="A8" s="180"/>
      <c r="B8" s="180"/>
      <c r="C8" s="180"/>
      <c r="D8" s="180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  <c r="L9" s="87"/>
    </row>
    <row r="10" spans="1:12" s="61" customFormat="1" ht="12" customHeight="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  <c r="L10" s="73"/>
    </row>
    <row r="11" spans="1:12" s="64" customFormat="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2" s="65" customFormat="1" ht="22.9" customHeight="1">
      <c r="A12" s="226" t="s">
        <v>357</v>
      </c>
      <c r="B12" s="229"/>
      <c r="C12" s="229"/>
      <c r="D12" s="229"/>
      <c r="E12" s="229"/>
      <c r="F12" s="229"/>
      <c r="G12" s="229"/>
      <c r="H12" s="229"/>
      <c r="I12" s="229"/>
      <c r="J12" s="229"/>
      <c r="K12" s="230"/>
    </row>
    <row r="13" spans="1:12" s="65" customFormat="1" ht="66.599999999999994" customHeight="1" outlineLevel="1">
      <c r="A13" s="108" t="s">
        <v>80</v>
      </c>
      <c r="B13" s="109" t="s">
        <v>358</v>
      </c>
      <c r="C13" s="109" t="s">
        <v>359</v>
      </c>
      <c r="D13" s="194" t="s">
        <v>360</v>
      </c>
      <c r="E13" s="187"/>
      <c r="F13" s="187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361</v>
      </c>
      <c r="C14" s="111" t="s">
        <v>362</v>
      </c>
      <c r="D14" s="194" t="s">
        <v>363</v>
      </c>
      <c r="E14" s="187"/>
      <c r="F14" s="187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364</v>
      </c>
      <c r="C15" s="109" t="s">
        <v>365</v>
      </c>
      <c r="D15" s="194" t="s">
        <v>366</v>
      </c>
      <c r="E15" s="187"/>
      <c r="F15" s="187"/>
      <c r="G15" s="95"/>
      <c r="H15" s="94"/>
      <c r="I15" s="93"/>
      <c r="J15" s="92"/>
      <c r="K15" s="92"/>
    </row>
    <row r="16" spans="1:12" ht="27" customHeight="1">
      <c r="A16" s="226" t="s">
        <v>367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5"/>
    </row>
    <row r="17" spans="1:11" ht="70.150000000000006" customHeight="1">
      <c r="A17" s="110" t="s">
        <v>95</v>
      </c>
      <c r="B17" s="111" t="s">
        <v>368</v>
      </c>
      <c r="C17" s="111" t="s">
        <v>369</v>
      </c>
      <c r="D17" s="194" t="s">
        <v>370</v>
      </c>
      <c r="E17" s="187"/>
      <c r="F17" s="187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371</v>
      </c>
      <c r="C18" s="109" t="s">
        <v>372</v>
      </c>
      <c r="D18" s="194" t="s">
        <v>373</v>
      </c>
      <c r="E18" s="187"/>
      <c r="F18" s="187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374</v>
      </c>
      <c r="C19" s="111" t="s">
        <v>375</v>
      </c>
      <c r="D19" s="194" t="s">
        <v>376</v>
      </c>
      <c r="E19" s="187"/>
      <c r="F19" s="187"/>
      <c r="G19" s="95"/>
      <c r="H19" s="94"/>
      <c r="I19" s="93"/>
      <c r="J19" s="92"/>
      <c r="K19" s="92"/>
    </row>
    <row r="20" spans="1:11" ht="28.15" customHeight="1">
      <c r="A20" s="223" t="s">
        <v>377</v>
      </c>
      <c r="B20" s="224"/>
      <c r="C20" s="224"/>
      <c r="D20" s="224"/>
      <c r="E20" s="224"/>
      <c r="F20" s="224"/>
      <c r="G20" s="224"/>
      <c r="H20" s="224"/>
      <c r="I20" s="224"/>
      <c r="J20" s="224"/>
      <c r="K20" s="225"/>
    </row>
    <row r="21" spans="1:11" ht="70.150000000000006" customHeight="1">
      <c r="A21" s="108" t="s">
        <v>109</v>
      </c>
      <c r="B21" s="109" t="s">
        <v>378</v>
      </c>
      <c r="C21" s="109" t="s">
        <v>379</v>
      </c>
      <c r="D21" s="194" t="s">
        <v>380</v>
      </c>
      <c r="E21" s="187"/>
      <c r="F21" s="187"/>
      <c r="G21" s="95"/>
      <c r="H21" s="94"/>
      <c r="I21" s="93"/>
      <c r="J21" s="92"/>
      <c r="K21" s="92"/>
    </row>
    <row r="22" spans="1:11" ht="70.150000000000006" customHeight="1">
      <c r="A22" s="110" t="s">
        <v>113</v>
      </c>
      <c r="B22" s="111" t="s">
        <v>381</v>
      </c>
      <c r="C22" s="111" t="s">
        <v>382</v>
      </c>
      <c r="D22" s="194" t="s">
        <v>383</v>
      </c>
      <c r="E22" s="187"/>
      <c r="F22" s="187"/>
      <c r="G22" s="95"/>
      <c r="H22" s="94"/>
      <c r="I22" s="93"/>
      <c r="J22" s="92"/>
      <c r="K22" s="92"/>
    </row>
    <row r="23" spans="1:11" ht="70.150000000000006" customHeight="1">
      <c r="A23" s="108" t="s">
        <v>118</v>
      </c>
      <c r="B23" s="109" t="s">
        <v>384</v>
      </c>
      <c r="C23" s="109" t="s">
        <v>385</v>
      </c>
      <c r="D23" s="194" t="s">
        <v>386</v>
      </c>
      <c r="E23" s="187"/>
      <c r="F23" s="187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387</v>
      </c>
      <c r="C24" s="111" t="s">
        <v>388</v>
      </c>
      <c r="D24" s="194" t="s">
        <v>389</v>
      </c>
      <c r="E24" s="187"/>
      <c r="F24" s="187"/>
      <c r="G24" s="95"/>
      <c r="H24" s="94"/>
      <c r="I24" s="93"/>
      <c r="J24" s="92"/>
      <c r="K24" s="92"/>
    </row>
    <row r="25" spans="1:11" ht="31.15" customHeight="1">
      <c r="A25" s="223" t="s">
        <v>390</v>
      </c>
      <c r="B25" s="224"/>
      <c r="C25" s="224"/>
      <c r="D25" s="224"/>
      <c r="E25" s="224"/>
      <c r="F25" s="224"/>
      <c r="G25" s="224"/>
      <c r="H25" s="224"/>
      <c r="I25" s="224"/>
      <c r="J25" s="224"/>
      <c r="K25" s="225"/>
    </row>
    <row r="26" spans="1:11" ht="70.150000000000006" customHeight="1">
      <c r="A26" s="108" t="s">
        <v>126</v>
      </c>
      <c r="B26" s="109" t="s">
        <v>391</v>
      </c>
      <c r="C26" s="109" t="s">
        <v>392</v>
      </c>
      <c r="D26" s="194" t="s">
        <v>393</v>
      </c>
      <c r="E26" s="187"/>
      <c r="F26" s="187"/>
      <c r="G26" s="95"/>
      <c r="H26" s="94"/>
      <c r="I26" s="93"/>
      <c r="J26" s="92"/>
      <c r="K26" s="92"/>
    </row>
    <row r="27" spans="1:11" ht="70.150000000000006" customHeight="1">
      <c r="A27" s="110" t="s">
        <v>161</v>
      </c>
      <c r="B27" s="111" t="s">
        <v>394</v>
      </c>
      <c r="C27" s="111" t="s">
        <v>395</v>
      </c>
      <c r="D27" s="194" t="s">
        <v>396</v>
      </c>
      <c r="E27" s="187"/>
      <c r="F27" s="187"/>
      <c r="G27" s="95"/>
      <c r="H27" s="94"/>
      <c r="I27" s="93"/>
      <c r="J27" s="92"/>
      <c r="K27" s="92"/>
    </row>
    <row r="28" spans="1:11" ht="70.150000000000006" customHeight="1">
      <c r="A28" s="108" t="s">
        <v>298</v>
      </c>
      <c r="B28" s="109" t="s">
        <v>397</v>
      </c>
      <c r="C28" s="109" t="s">
        <v>398</v>
      </c>
      <c r="D28" s="194" t="s">
        <v>399</v>
      </c>
      <c r="E28" s="187"/>
      <c r="F28" s="187"/>
      <c r="G28" s="95"/>
      <c r="H28" s="94"/>
      <c r="I28" s="93"/>
      <c r="J28" s="92"/>
      <c r="K28" s="92"/>
    </row>
    <row r="29" spans="1:11" ht="70.150000000000006" customHeight="1">
      <c r="A29" s="110" t="s">
        <v>302</v>
      </c>
      <c r="B29" s="111" t="s">
        <v>400</v>
      </c>
      <c r="C29" s="111" t="s">
        <v>401</v>
      </c>
      <c r="D29" s="194" t="s">
        <v>402</v>
      </c>
      <c r="E29" s="187"/>
      <c r="F29" s="187"/>
      <c r="G29" s="95"/>
      <c r="H29" s="94"/>
      <c r="I29" s="93"/>
      <c r="J29" s="92"/>
      <c r="K29" s="92"/>
    </row>
    <row r="30" spans="1:11" ht="70.150000000000006" customHeight="1">
      <c r="A30" s="108"/>
      <c r="B30" s="109"/>
      <c r="C30" s="109"/>
      <c r="D30" s="194"/>
      <c r="E30" s="187"/>
      <c r="F30" s="187"/>
      <c r="G30" s="95"/>
      <c r="H30" s="94"/>
      <c r="I30" s="93"/>
      <c r="J30" s="92"/>
      <c r="K30" s="92"/>
    </row>
    <row r="31" spans="1:11" ht="70.150000000000006" customHeight="1">
      <c r="A31" s="110"/>
      <c r="B31" s="120"/>
      <c r="C31" s="111"/>
      <c r="D31" s="194"/>
      <c r="E31" s="187"/>
      <c r="F31" s="187"/>
      <c r="G31" s="95"/>
      <c r="H31" s="94"/>
      <c r="I31" s="93"/>
      <c r="J31" s="92"/>
      <c r="K31" s="92"/>
    </row>
    <row r="32" spans="1:11" ht="70.150000000000006" customHeight="1">
      <c r="A32" s="121"/>
      <c r="B32" s="122"/>
      <c r="C32" s="123"/>
      <c r="D32" s="227"/>
      <c r="E32" s="228"/>
      <c r="F32" s="228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7"/>
      <c r="E33" s="228"/>
      <c r="F33" s="228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7"/>
      <c r="E34" s="228"/>
      <c r="F34" s="228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7"/>
      <c r="E35" s="228"/>
      <c r="F35" s="228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7"/>
      <c r="E36" s="228"/>
      <c r="F36" s="228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7"/>
      <c r="E37" s="228"/>
      <c r="F37" s="228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7"/>
      <c r="E38" s="228"/>
      <c r="F38" s="228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7"/>
      <c r="E39" s="228"/>
      <c r="F39" s="228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7"/>
      <c r="E40" s="228"/>
      <c r="F40" s="228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7"/>
      <c r="E41" s="228"/>
      <c r="F41" s="228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7"/>
      <c r="E42" s="228"/>
      <c r="F42" s="228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7"/>
      <c r="E43" s="228"/>
      <c r="F43" s="228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7"/>
      <c r="E44" s="228"/>
      <c r="F44" s="228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7"/>
      <c r="E45" s="228"/>
      <c r="F45" s="228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7"/>
      <c r="E46" s="228"/>
      <c r="F46" s="228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7"/>
      <c r="E47" s="228"/>
      <c r="F47" s="228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7"/>
      <c r="E48" s="228"/>
      <c r="F48" s="228"/>
      <c r="G48" s="95"/>
      <c r="H48" s="94"/>
      <c r="I48" s="93"/>
      <c r="J48" s="92"/>
      <c r="K48" s="92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6" t="s">
        <v>0</v>
      </c>
      <c r="B1" s="68" t="s">
        <v>403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 customHeight="1">
      <c r="A3" s="70" t="s">
        <v>61</v>
      </c>
      <c r="B3" s="170" t="s">
        <v>62</v>
      </c>
      <c r="C3" s="170"/>
      <c r="D3" s="171"/>
      <c r="E3" s="71"/>
      <c r="F3" s="71"/>
      <c r="G3" s="71"/>
      <c r="H3" s="71"/>
      <c r="I3" s="172"/>
      <c r="J3" s="172"/>
      <c r="K3" s="172"/>
    </row>
    <row r="4" spans="1:11" ht="13.5" customHeight="1">
      <c r="A4" s="74" t="s">
        <v>63</v>
      </c>
      <c r="B4" s="173" t="s">
        <v>404</v>
      </c>
      <c r="C4" s="174"/>
      <c r="D4" s="175"/>
      <c r="E4" s="71"/>
      <c r="F4" s="71"/>
      <c r="G4" s="71"/>
      <c r="H4" s="71"/>
      <c r="I4" s="172"/>
      <c r="J4" s="172"/>
      <c r="K4" s="172"/>
    </row>
    <row r="5" spans="1:11" ht="12.75" customHeight="1">
      <c r="A5" s="74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</row>
    <row r="6" spans="1:11" ht="14.25">
      <c r="A6" s="77" t="s">
        <v>67</v>
      </c>
      <c r="B6" s="78">
        <f>COUNTIF(J12:J21,"Pass")</f>
        <v>0</v>
      </c>
      <c r="C6" s="79" t="s">
        <v>68</v>
      </c>
      <c r="D6" s="80">
        <f>COUNTIF(J10:J740,"Pending")</f>
        <v>8</v>
      </c>
      <c r="E6" s="72"/>
      <c r="F6" s="72"/>
      <c r="G6" s="72"/>
      <c r="H6" s="72"/>
      <c r="I6" s="172"/>
      <c r="J6" s="172"/>
      <c r="K6" s="172"/>
    </row>
    <row r="7" spans="1:11" ht="14.25">
      <c r="A7" s="81" t="s">
        <v>69</v>
      </c>
      <c r="B7" s="82">
        <f>COUNTIF(J12:J21,"Fail")</f>
        <v>0</v>
      </c>
      <c r="C7" s="83" t="s">
        <v>70</v>
      </c>
      <c r="D7" s="84">
        <f>COUNTA(A12:A22)-3</f>
        <v>8</v>
      </c>
      <c r="E7" s="85"/>
      <c r="F7" s="85"/>
      <c r="G7" s="85"/>
      <c r="H7" s="85"/>
      <c r="I7" s="172"/>
      <c r="J7" s="172"/>
      <c r="K7" s="172"/>
    </row>
    <row r="8" spans="1:11" ht="14.25">
      <c r="A8" s="180"/>
      <c r="B8" s="180"/>
      <c r="C8" s="180"/>
      <c r="D8" s="180"/>
      <c r="E8" s="72"/>
      <c r="F8" s="72"/>
      <c r="G8" s="72"/>
      <c r="H8" s="72"/>
      <c r="I8" s="72"/>
      <c r="J8" s="86"/>
      <c r="K8" s="86"/>
    </row>
    <row r="9" spans="1:1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</row>
    <row r="10" spans="1:1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</row>
    <row r="11" spans="1:1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1">
      <c r="A12" s="183" t="s">
        <v>405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1" ht="52.5" customHeight="1">
      <c r="A13" s="112" t="s">
        <v>80</v>
      </c>
      <c r="B13" s="91" t="s">
        <v>406</v>
      </c>
      <c r="C13" s="91" t="s">
        <v>407</v>
      </c>
      <c r="D13" s="231" t="s">
        <v>408</v>
      </c>
      <c r="E13" s="232"/>
      <c r="F13" s="232"/>
      <c r="G13" s="115"/>
      <c r="H13" s="114"/>
      <c r="I13" s="116"/>
      <c r="J13" s="91" t="s">
        <v>68</v>
      </c>
      <c r="K13" s="91"/>
    </row>
    <row r="14" spans="1:11" ht="57" customHeight="1">
      <c r="A14" s="112" t="s">
        <v>85</v>
      </c>
      <c r="B14" s="91" t="s">
        <v>409</v>
      </c>
      <c r="C14" s="91" t="s">
        <v>407</v>
      </c>
      <c r="D14" s="231" t="s">
        <v>410</v>
      </c>
      <c r="E14" s="232"/>
      <c r="F14" s="232"/>
      <c r="G14" s="115"/>
      <c r="H14" s="114"/>
      <c r="I14" s="116"/>
      <c r="J14" s="91" t="s">
        <v>68</v>
      </c>
      <c r="K14" s="91"/>
    </row>
    <row r="15" spans="1:11">
      <c r="A15" s="233" t="s">
        <v>411</v>
      </c>
      <c r="B15" s="234"/>
      <c r="C15" s="234"/>
      <c r="D15" s="117"/>
      <c r="E15" s="117"/>
      <c r="F15" s="117"/>
      <c r="G15" s="117"/>
      <c r="H15" s="117"/>
      <c r="I15" s="117"/>
      <c r="J15" s="117"/>
      <c r="K15" s="118"/>
    </row>
    <row r="16" spans="1:11" ht="78" customHeight="1">
      <c r="A16" s="112" t="s">
        <v>90</v>
      </c>
      <c r="B16" s="119" t="s">
        <v>412</v>
      </c>
      <c r="C16" s="119" t="s">
        <v>413</v>
      </c>
      <c r="D16" s="231" t="s">
        <v>414</v>
      </c>
      <c r="E16" s="232"/>
      <c r="F16" s="232"/>
      <c r="G16" s="115"/>
      <c r="H16" s="114"/>
      <c r="I16" s="113"/>
      <c r="J16" s="91" t="s">
        <v>68</v>
      </c>
      <c r="K16" s="91"/>
    </row>
    <row r="17" spans="1:11" ht="40.5" customHeight="1">
      <c r="A17" s="112" t="s">
        <v>95</v>
      </c>
      <c r="B17" s="119" t="s">
        <v>415</v>
      </c>
      <c r="C17" s="119" t="s">
        <v>416</v>
      </c>
      <c r="D17" s="231" t="s">
        <v>417</v>
      </c>
      <c r="E17" s="232"/>
      <c r="F17" s="232"/>
      <c r="G17" s="115"/>
      <c r="H17" s="114"/>
      <c r="I17" s="113"/>
      <c r="J17" s="91" t="s">
        <v>68</v>
      </c>
      <c r="K17" s="91"/>
    </row>
    <row r="18" spans="1:11" ht="54.75" customHeight="1">
      <c r="A18" s="112" t="s">
        <v>100</v>
      </c>
      <c r="B18" s="119" t="s">
        <v>418</v>
      </c>
      <c r="C18" s="119" t="s">
        <v>419</v>
      </c>
      <c r="D18" s="231" t="s">
        <v>420</v>
      </c>
      <c r="E18" s="232"/>
      <c r="F18" s="232"/>
      <c r="G18" s="115"/>
      <c r="H18" s="114"/>
      <c r="I18" s="113"/>
      <c r="J18" s="91" t="s">
        <v>68</v>
      </c>
      <c r="K18" s="91"/>
    </row>
    <row r="19" spans="1:11" ht="105.75" customHeight="1">
      <c r="A19" s="112" t="s">
        <v>104</v>
      </c>
      <c r="B19" s="119" t="s">
        <v>421</v>
      </c>
      <c r="C19" s="119" t="s">
        <v>422</v>
      </c>
      <c r="D19" s="231" t="s">
        <v>423</v>
      </c>
      <c r="E19" s="232"/>
      <c r="F19" s="232"/>
      <c r="G19" s="115"/>
      <c r="H19" s="114"/>
      <c r="I19" s="113"/>
      <c r="J19" s="91" t="s">
        <v>68</v>
      </c>
      <c r="K19" s="91"/>
    </row>
    <row r="20" spans="1:11">
      <c r="A20" s="233" t="s">
        <v>424</v>
      </c>
      <c r="B20" s="234"/>
      <c r="C20" s="234"/>
      <c r="D20" s="117"/>
      <c r="E20" s="117"/>
      <c r="F20" s="117"/>
      <c r="G20" s="117"/>
      <c r="H20" s="117"/>
      <c r="I20" s="117"/>
      <c r="J20" s="117"/>
      <c r="K20" s="118"/>
    </row>
    <row r="21" spans="1:11" ht="65.25" customHeight="1">
      <c r="A21" s="112" t="s">
        <v>109</v>
      </c>
      <c r="B21" s="91" t="s">
        <v>425</v>
      </c>
      <c r="C21" s="91" t="s">
        <v>426</v>
      </c>
      <c r="D21" s="231" t="s">
        <v>427</v>
      </c>
      <c r="E21" s="235"/>
      <c r="F21" s="235"/>
      <c r="G21" s="115"/>
      <c r="H21" s="114"/>
      <c r="I21" s="113"/>
      <c r="J21" s="91" t="s">
        <v>68</v>
      </c>
      <c r="K21" s="91"/>
    </row>
    <row r="22" spans="1:11" ht="69.95" customHeight="1">
      <c r="A22" s="112" t="s">
        <v>113</v>
      </c>
      <c r="B22" s="91" t="s">
        <v>428</v>
      </c>
      <c r="C22" s="91" t="s">
        <v>429</v>
      </c>
      <c r="D22" s="231" t="s">
        <v>430</v>
      </c>
      <c r="E22" s="235"/>
      <c r="F22" s="235"/>
      <c r="G22" s="115"/>
      <c r="H22" s="114"/>
      <c r="I22" s="113"/>
      <c r="J22" s="91" t="s">
        <v>68</v>
      </c>
      <c r="K22" s="91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170" t="s">
        <v>62</v>
      </c>
      <c r="C3" s="170"/>
      <c r="D3" s="171"/>
      <c r="E3" s="71"/>
      <c r="F3" s="71"/>
      <c r="G3" s="71"/>
      <c r="H3" s="71"/>
      <c r="I3" s="172"/>
      <c r="J3" s="172"/>
      <c r="K3" s="172"/>
      <c r="L3" s="73"/>
    </row>
    <row r="4" spans="1:12" s="61" customFormat="1" ht="13.15" customHeight="1">
      <c r="A4" s="74" t="s">
        <v>63</v>
      </c>
      <c r="B4" s="173" t="s">
        <v>431</v>
      </c>
      <c r="C4" s="174"/>
      <c r="D4" s="175"/>
      <c r="E4" s="71"/>
      <c r="F4" s="71"/>
      <c r="G4" s="71"/>
      <c r="H4" s="71"/>
      <c r="I4" s="172"/>
      <c r="J4" s="172"/>
      <c r="K4" s="172"/>
      <c r="L4" s="73"/>
    </row>
    <row r="5" spans="1:12" s="62" customFormat="1" ht="25.5">
      <c r="A5" s="107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72"/>
      <c r="J6" s="172"/>
      <c r="K6" s="172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COUNTA(A12:A32)-4</f>
        <v>17</v>
      </c>
      <c r="E7" s="85"/>
      <c r="F7" s="85"/>
      <c r="G7" s="85"/>
      <c r="H7" s="85"/>
      <c r="I7" s="172"/>
      <c r="J7" s="172"/>
      <c r="K7" s="172"/>
      <c r="L7" s="73"/>
    </row>
    <row r="8" spans="1:12" s="61" customFormat="1" ht="15" customHeight="1">
      <c r="A8" s="180"/>
      <c r="B8" s="180"/>
      <c r="C8" s="180"/>
      <c r="D8" s="180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  <c r="L9" s="87"/>
    </row>
    <row r="10" spans="1:12" s="61" customFormat="1" ht="12" customHeight="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  <c r="L10" s="73"/>
    </row>
    <row r="11" spans="1:12" s="64" customFormat="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2" s="65" customFormat="1" ht="29.45" customHeight="1">
      <c r="A12" s="236" t="s">
        <v>432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2" s="65" customFormat="1" ht="69" customHeight="1" outlineLevel="1">
      <c r="A13" s="108" t="s">
        <v>80</v>
      </c>
      <c r="B13" s="109" t="s">
        <v>433</v>
      </c>
      <c r="C13" s="109" t="s">
        <v>434</v>
      </c>
      <c r="D13" s="194" t="s">
        <v>435</v>
      </c>
      <c r="E13" s="187"/>
      <c r="F13" s="187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436</v>
      </c>
      <c r="C14" s="111" t="s">
        <v>437</v>
      </c>
      <c r="D14" s="194" t="s">
        <v>438</v>
      </c>
      <c r="E14" s="187"/>
      <c r="F14" s="187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439</v>
      </c>
      <c r="C15" s="109" t="s">
        <v>440</v>
      </c>
      <c r="D15" s="194" t="s">
        <v>441</v>
      </c>
      <c r="E15" s="187"/>
      <c r="F15" s="187"/>
      <c r="G15" s="95"/>
      <c r="H15" s="94"/>
      <c r="I15" s="93"/>
      <c r="J15" s="92"/>
      <c r="K15" s="92"/>
    </row>
    <row r="16" spans="1:12" ht="32.450000000000003" customHeight="1">
      <c r="A16" s="236" t="s">
        <v>442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5"/>
    </row>
    <row r="17" spans="1:11" ht="70.150000000000006" customHeight="1">
      <c r="A17" s="110" t="s">
        <v>95</v>
      </c>
      <c r="B17" s="111" t="s">
        <v>443</v>
      </c>
      <c r="C17" s="111" t="s">
        <v>444</v>
      </c>
      <c r="D17" s="194" t="s">
        <v>445</v>
      </c>
      <c r="E17" s="187"/>
      <c r="F17" s="187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446</v>
      </c>
      <c r="C18" s="109" t="s">
        <v>447</v>
      </c>
      <c r="D18" s="194" t="s">
        <v>448</v>
      </c>
      <c r="E18" s="187"/>
      <c r="F18" s="187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449</v>
      </c>
      <c r="C19" s="111" t="s">
        <v>450</v>
      </c>
      <c r="D19" s="194" t="s">
        <v>451</v>
      </c>
      <c r="E19" s="187"/>
      <c r="F19" s="187"/>
      <c r="G19" s="95"/>
      <c r="H19" s="94"/>
      <c r="I19" s="93"/>
      <c r="J19" s="92"/>
      <c r="K19" s="92"/>
    </row>
    <row r="20" spans="1:11" ht="70.150000000000006" customHeight="1">
      <c r="A20" s="108" t="s">
        <v>109</v>
      </c>
      <c r="B20" s="109" t="s">
        <v>452</v>
      </c>
      <c r="C20" s="109" t="s">
        <v>453</v>
      </c>
      <c r="D20" s="194" t="s">
        <v>454</v>
      </c>
      <c r="E20" s="187"/>
      <c r="F20" s="187"/>
      <c r="G20" s="95"/>
      <c r="H20" s="94"/>
      <c r="I20" s="93"/>
      <c r="J20" s="92"/>
      <c r="K20" s="92"/>
    </row>
    <row r="21" spans="1:11" ht="70.150000000000006" customHeight="1">
      <c r="A21" s="110" t="s">
        <v>113</v>
      </c>
      <c r="B21" s="111" t="s">
        <v>455</v>
      </c>
      <c r="C21" s="111" t="s">
        <v>456</v>
      </c>
      <c r="D21" s="194" t="s">
        <v>457</v>
      </c>
      <c r="E21" s="187"/>
      <c r="F21" s="187"/>
      <c r="G21" s="95"/>
      <c r="H21" s="94"/>
      <c r="I21" s="93"/>
      <c r="J21" s="92"/>
      <c r="K21" s="92"/>
    </row>
    <row r="22" spans="1:11" ht="31.9" customHeight="1">
      <c r="A22" s="236" t="s">
        <v>458</v>
      </c>
      <c r="B22" s="184"/>
      <c r="C22" s="184"/>
      <c r="D22" s="184"/>
      <c r="E22" s="184"/>
      <c r="F22" s="184"/>
      <c r="G22" s="184"/>
      <c r="H22" s="184"/>
      <c r="I22" s="184"/>
      <c r="J22" s="184"/>
      <c r="K22" s="185"/>
    </row>
    <row r="23" spans="1:11" ht="70.150000000000006" customHeight="1">
      <c r="A23" s="108" t="s">
        <v>118</v>
      </c>
      <c r="B23" s="109" t="s">
        <v>459</v>
      </c>
      <c r="C23" s="109" t="s">
        <v>460</v>
      </c>
      <c r="D23" s="194" t="s">
        <v>461</v>
      </c>
      <c r="E23" s="187"/>
      <c r="F23" s="187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462</v>
      </c>
      <c r="C24" s="111" t="s">
        <v>463</v>
      </c>
      <c r="D24" s="194" t="s">
        <v>464</v>
      </c>
      <c r="E24" s="187"/>
      <c r="F24" s="187"/>
      <c r="G24" s="95"/>
      <c r="H24" s="94"/>
      <c r="I24" s="93"/>
      <c r="J24" s="92"/>
      <c r="K24" s="92"/>
    </row>
    <row r="25" spans="1:11" ht="70.150000000000006" customHeight="1">
      <c r="A25" s="108" t="s">
        <v>126</v>
      </c>
      <c r="B25" s="109" t="s">
        <v>465</v>
      </c>
      <c r="C25" s="109" t="s">
        <v>466</v>
      </c>
      <c r="D25" s="194" t="s">
        <v>467</v>
      </c>
      <c r="E25" s="187"/>
      <c r="F25" s="187"/>
      <c r="G25" s="95"/>
      <c r="H25" s="94"/>
      <c r="I25" s="93"/>
      <c r="J25" s="92"/>
      <c r="K25" s="92"/>
    </row>
    <row r="26" spans="1:11" ht="70.150000000000006" customHeight="1">
      <c r="A26" s="110" t="s">
        <v>161</v>
      </c>
      <c r="B26" s="111" t="s">
        <v>468</v>
      </c>
      <c r="C26" s="111" t="s">
        <v>469</v>
      </c>
      <c r="D26" s="194" t="s">
        <v>470</v>
      </c>
      <c r="E26" s="187"/>
      <c r="F26" s="187"/>
      <c r="G26" s="95"/>
      <c r="H26" s="94"/>
      <c r="I26" s="93"/>
      <c r="J26" s="92"/>
      <c r="K26" s="92"/>
    </row>
    <row r="27" spans="1:11" ht="70.150000000000006" customHeight="1">
      <c r="A27" s="108" t="s">
        <v>298</v>
      </c>
      <c r="B27" s="109" t="s">
        <v>471</v>
      </c>
      <c r="C27" s="109" t="s">
        <v>472</v>
      </c>
      <c r="D27" s="194" t="s">
        <v>473</v>
      </c>
      <c r="E27" s="187"/>
      <c r="F27" s="187"/>
      <c r="G27" s="95"/>
      <c r="H27" s="94"/>
      <c r="I27" s="93"/>
      <c r="J27" s="92"/>
      <c r="K27" s="92"/>
    </row>
    <row r="28" spans="1:11" ht="70.150000000000006" customHeight="1">
      <c r="A28" s="110" t="s">
        <v>302</v>
      </c>
      <c r="B28" s="111" t="s">
        <v>474</v>
      </c>
      <c r="C28" s="111" t="s">
        <v>475</v>
      </c>
      <c r="D28" s="194" t="s">
        <v>476</v>
      </c>
      <c r="E28" s="187"/>
      <c r="F28" s="187"/>
      <c r="G28" s="95"/>
      <c r="H28" s="94"/>
      <c r="I28" s="93"/>
      <c r="J28" s="92"/>
      <c r="K28" s="92"/>
    </row>
    <row r="29" spans="1:11" ht="70.150000000000006" customHeight="1">
      <c r="A29" s="108" t="s">
        <v>307</v>
      </c>
      <c r="B29" s="109" t="s">
        <v>477</v>
      </c>
      <c r="C29" s="109" t="s">
        <v>478</v>
      </c>
      <c r="D29" s="194" t="s">
        <v>479</v>
      </c>
      <c r="E29" s="187"/>
      <c r="F29" s="187"/>
      <c r="G29" s="95"/>
      <c r="H29" s="94"/>
      <c r="I29" s="93"/>
      <c r="J29" s="92"/>
      <c r="K29" s="92"/>
    </row>
    <row r="30" spans="1:11" ht="31.9" customHeight="1">
      <c r="A30" s="236" t="s">
        <v>480</v>
      </c>
      <c r="B30" s="184"/>
      <c r="C30" s="184"/>
      <c r="D30" s="184"/>
      <c r="E30" s="184"/>
      <c r="F30" s="184"/>
      <c r="G30" s="184"/>
      <c r="H30" s="184"/>
      <c r="I30" s="184"/>
      <c r="J30" s="184"/>
      <c r="K30" s="185"/>
    </row>
    <row r="31" spans="1:11" ht="70.150000000000006" customHeight="1">
      <c r="A31" s="110" t="s">
        <v>311</v>
      </c>
      <c r="B31" s="111" t="s">
        <v>481</v>
      </c>
      <c r="C31" s="111" t="s">
        <v>482</v>
      </c>
      <c r="D31" s="194" t="s">
        <v>483</v>
      </c>
      <c r="E31" s="187"/>
      <c r="F31" s="187"/>
      <c r="G31" s="95"/>
      <c r="H31" s="94"/>
      <c r="I31" s="93"/>
      <c r="J31" s="92"/>
      <c r="K31" s="92"/>
    </row>
    <row r="32" spans="1:11" ht="70.150000000000006" customHeight="1">
      <c r="A32" s="108" t="s">
        <v>315</v>
      </c>
      <c r="B32" s="109" t="s">
        <v>484</v>
      </c>
      <c r="C32" s="109" t="s">
        <v>485</v>
      </c>
      <c r="D32" s="194" t="s">
        <v>486</v>
      </c>
      <c r="E32" s="187"/>
      <c r="F32" s="187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7"/>
      <c r="E33" s="228"/>
      <c r="F33" s="228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7"/>
      <c r="E34" s="228"/>
      <c r="F34" s="228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7"/>
      <c r="E35" s="228"/>
      <c r="F35" s="228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7"/>
      <c r="E36" s="228"/>
      <c r="F36" s="228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7"/>
      <c r="E37" s="228"/>
      <c r="F37" s="228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7"/>
      <c r="E38" s="228"/>
      <c r="F38" s="228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7"/>
      <c r="E39" s="228"/>
      <c r="F39" s="228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7"/>
      <c r="E40" s="228"/>
      <c r="F40" s="228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7"/>
      <c r="E41" s="228"/>
      <c r="F41" s="228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7"/>
      <c r="E42" s="228"/>
      <c r="F42" s="228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7"/>
      <c r="E43" s="228"/>
      <c r="F43" s="228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7"/>
      <c r="E44" s="228"/>
      <c r="F44" s="228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7"/>
      <c r="E45" s="228"/>
      <c r="F45" s="228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7"/>
      <c r="E46" s="228"/>
      <c r="F46" s="228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7"/>
      <c r="E47" s="228"/>
      <c r="F47" s="228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7"/>
      <c r="E48" s="228"/>
      <c r="F48" s="228"/>
      <c r="G48" s="95"/>
      <c r="H48" s="94"/>
      <c r="I48" s="93"/>
      <c r="J48" s="92"/>
      <c r="K48" s="92"/>
    </row>
    <row r="49" spans="1:11" ht="70.150000000000006" customHeight="1">
      <c r="A49" s="90"/>
      <c r="B49" s="99"/>
      <c r="C49" s="92"/>
      <c r="D49" s="227"/>
      <c r="E49" s="228"/>
      <c r="F49" s="228"/>
      <c r="G49" s="95"/>
      <c r="H49" s="94"/>
      <c r="I49" s="93"/>
      <c r="J49" s="92"/>
      <c r="K49" s="92"/>
    </row>
    <row r="50" spans="1:11" ht="70.150000000000006" customHeight="1">
      <c r="A50" s="90"/>
      <c r="B50" s="99"/>
      <c r="C50" s="92"/>
      <c r="D50" s="227"/>
      <c r="E50" s="228"/>
      <c r="F50" s="228"/>
      <c r="G50" s="95"/>
      <c r="H50" s="94"/>
      <c r="I50" s="93"/>
      <c r="J50" s="92"/>
      <c r="K50" s="92"/>
    </row>
    <row r="51" spans="1:11" ht="70.150000000000006" customHeight="1">
      <c r="A51" s="90"/>
      <c r="B51" s="99"/>
      <c r="C51" s="92"/>
      <c r="D51" s="227"/>
      <c r="E51" s="228"/>
      <c r="F51" s="228"/>
      <c r="G51" s="95"/>
      <c r="H51" s="94"/>
      <c r="I51" s="93"/>
      <c r="J51" s="92"/>
      <c r="K51" s="92"/>
    </row>
    <row r="52" spans="1:11" ht="70.150000000000006" customHeight="1">
      <c r="A52" s="90"/>
      <c r="B52" s="99"/>
      <c r="C52" s="92"/>
      <c r="D52" s="227"/>
      <c r="E52" s="228"/>
      <c r="F52" s="228"/>
      <c r="G52" s="95"/>
      <c r="H52" s="94"/>
      <c r="I52" s="93"/>
      <c r="J52" s="92"/>
      <c r="K52" s="92"/>
    </row>
    <row r="53" spans="1:11" ht="70.150000000000006" customHeight="1">
      <c r="A53" s="90"/>
      <c r="B53" s="99"/>
      <c r="C53" s="92"/>
      <c r="D53" s="227"/>
      <c r="E53" s="228"/>
      <c r="F53" s="228"/>
      <c r="G53" s="95"/>
      <c r="H53" s="94"/>
      <c r="I53" s="93"/>
      <c r="J53" s="92"/>
      <c r="K53" s="92"/>
    </row>
    <row r="54" spans="1:11" ht="70.150000000000006" customHeight="1">
      <c r="A54" s="90"/>
      <c r="B54" s="99"/>
      <c r="C54" s="92"/>
      <c r="D54" s="227"/>
      <c r="E54" s="228"/>
      <c r="F54" s="228"/>
      <c r="G54" s="95"/>
      <c r="H54" s="94"/>
      <c r="I54" s="93"/>
      <c r="J54" s="92"/>
      <c r="K54" s="92"/>
    </row>
    <row r="55" spans="1:11" ht="70.150000000000006" customHeight="1">
      <c r="A55" s="90"/>
      <c r="B55" s="99"/>
      <c r="C55" s="92"/>
      <c r="D55" s="227"/>
      <c r="E55" s="228"/>
      <c r="F55" s="228"/>
      <c r="G55" s="95"/>
      <c r="H55" s="94"/>
      <c r="I55" s="93"/>
      <c r="J55" s="92"/>
      <c r="K55" s="92"/>
    </row>
    <row r="56" spans="1:11" ht="70.150000000000006" customHeight="1">
      <c r="A56" s="90"/>
      <c r="B56" s="99"/>
      <c r="C56" s="92"/>
      <c r="D56" s="227"/>
      <c r="E56" s="228"/>
      <c r="F56" s="228"/>
      <c r="G56" s="95"/>
      <c r="H56" s="94"/>
      <c r="I56" s="93"/>
      <c r="J56" s="92"/>
      <c r="K56" s="92"/>
    </row>
    <row r="57" spans="1:11" ht="70.150000000000006" customHeight="1">
      <c r="A57" s="90"/>
      <c r="B57" s="99"/>
      <c r="C57" s="92"/>
      <c r="D57" s="227"/>
      <c r="E57" s="228"/>
      <c r="F57" s="228"/>
      <c r="G57" s="95"/>
      <c r="H57" s="94"/>
      <c r="I57" s="93"/>
      <c r="J57" s="92"/>
      <c r="K57" s="92"/>
    </row>
    <row r="58" spans="1:11" ht="70.150000000000006" customHeight="1">
      <c r="A58" s="90"/>
      <c r="B58" s="99"/>
      <c r="C58" s="92"/>
      <c r="D58" s="227"/>
      <c r="E58" s="228"/>
      <c r="F58" s="228"/>
      <c r="G58" s="95"/>
      <c r="H58" s="94"/>
      <c r="I58" s="93"/>
      <c r="J58" s="92"/>
      <c r="K58" s="92"/>
    </row>
    <row r="59" spans="1:11" ht="70.150000000000006" customHeight="1">
      <c r="A59" s="90"/>
      <c r="B59" s="99"/>
      <c r="C59" s="92"/>
      <c r="D59" s="227"/>
      <c r="E59" s="228"/>
      <c r="F59" s="228"/>
      <c r="G59" s="95"/>
      <c r="H59" s="94"/>
      <c r="I59" s="93"/>
      <c r="J59" s="92"/>
      <c r="K59" s="92"/>
    </row>
    <row r="60" spans="1:11" ht="70.150000000000006" customHeight="1">
      <c r="A60" s="90"/>
      <c r="B60" s="99"/>
      <c r="C60" s="92"/>
      <c r="D60" s="227"/>
      <c r="E60" s="228"/>
      <c r="F60" s="228"/>
      <c r="G60" s="95"/>
      <c r="H60" s="94"/>
      <c r="I60" s="93"/>
      <c r="J60" s="92"/>
      <c r="K60" s="92"/>
    </row>
    <row r="61" spans="1:11" ht="70.150000000000006" customHeight="1">
      <c r="A61" s="90"/>
      <c r="B61" s="99"/>
      <c r="C61" s="92"/>
      <c r="D61" s="227"/>
      <c r="E61" s="228"/>
      <c r="F61" s="228"/>
      <c r="G61" s="95"/>
      <c r="H61" s="94"/>
      <c r="I61" s="93"/>
      <c r="J61" s="92"/>
      <c r="K61" s="92"/>
    </row>
    <row r="62" spans="1:11" ht="70.150000000000006" customHeight="1">
      <c r="A62" s="90"/>
      <c r="B62" s="99"/>
      <c r="C62" s="92"/>
      <c r="D62" s="227"/>
      <c r="E62" s="228"/>
      <c r="F62" s="228"/>
      <c r="G62" s="95"/>
      <c r="H62" s="94"/>
      <c r="I62" s="93"/>
      <c r="J62" s="92"/>
      <c r="K62" s="92"/>
    </row>
    <row r="63" spans="1:11" ht="70.150000000000006" customHeight="1">
      <c r="A63" s="90"/>
      <c r="B63" s="99"/>
      <c r="C63" s="92"/>
      <c r="D63" s="227"/>
      <c r="E63" s="228"/>
      <c r="F63" s="228"/>
      <c r="G63" s="95"/>
      <c r="H63" s="94"/>
      <c r="I63" s="93"/>
      <c r="J63" s="92"/>
      <c r="K63" s="92"/>
    </row>
    <row r="64" spans="1:11" ht="70.150000000000006" customHeight="1">
      <c r="A64" s="90"/>
      <c r="B64" s="99"/>
      <c r="C64" s="92"/>
      <c r="D64" s="227"/>
      <c r="E64" s="228"/>
      <c r="F64" s="228"/>
      <c r="G64" s="95"/>
      <c r="H64" s="94"/>
      <c r="I64" s="93"/>
      <c r="J64" s="92"/>
      <c r="K64" s="92"/>
    </row>
    <row r="65" spans="1:11" ht="70.150000000000006" customHeight="1">
      <c r="A65" s="90"/>
      <c r="B65" s="99"/>
      <c r="C65" s="92"/>
      <c r="D65" s="227"/>
      <c r="E65" s="228"/>
      <c r="F65" s="228"/>
      <c r="G65" s="95"/>
      <c r="H65" s="94"/>
      <c r="I65" s="93"/>
      <c r="J65" s="92"/>
      <c r="K65" s="92"/>
    </row>
    <row r="66" spans="1:11" ht="70.150000000000006" customHeight="1">
      <c r="A66" s="90"/>
      <c r="B66" s="99"/>
      <c r="C66" s="92"/>
      <c r="D66" s="227"/>
      <c r="E66" s="228"/>
      <c r="F66" s="228"/>
      <c r="G66" s="95"/>
      <c r="H66" s="94"/>
      <c r="I66" s="93"/>
      <c r="J66" s="92"/>
      <c r="K66" s="92"/>
    </row>
    <row r="67" spans="1:11" ht="70.150000000000006" customHeight="1">
      <c r="A67" s="90"/>
      <c r="B67" s="99"/>
      <c r="C67" s="92"/>
      <c r="D67" s="227"/>
      <c r="E67" s="228"/>
      <c r="F67" s="228"/>
      <c r="G67" s="95"/>
      <c r="H67" s="94"/>
      <c r="I67" s="93"/>
      <c r="J67" s="92"/>
      <c r="K67" s="92"/>
    </row>
    <row r="68" spans="1:11" ht="70.150000000000006" customHeight="1">
      <c r="A68" s="90"/>
      <c r="B68" s="99"/>
      <c r="C68" s="92"/>
      <c r="D68" s="227"/>
      <c r="E68" s="228"/>
      <c r="F68" s="228"/>
      <c r="G68" s="95"/>
      <c r="H68" s="94"/>
      <c r="I68" s="93"/>
      <c r="J68" s="92"/>
      <c r="K68" s="92"/>
    </row>
    <row r="69" spans="1:11" ht="70.150000000000006" customHeight="1">
      <c r="A69" s="90"/>
      <c r="B69" s="99"/>
      <c r="C69" s="92"/>
      <c r="D69" s="227"/>
      <c r="E69" s="228"/>
      <c r="F69" s="228"/>
      <c r="G69" s="95"/>
      <c r="H69" s="94"/>
      <c r="I69" s="93"/>
      <c r="J69" s="92"/>
      <c r="K69" s="92"/>
    </row>
    <row r="70" spans="1:11" ht="70.150000000000006" customHeight="1">
      <c r="A70" s="90"/>
      <c r="B70" s="99"/>
      <c r="C70" s="92"/>
      <c r="D70" s="227"/>
      <c r="E70" s="228"/>
      <c r="F70" s="228"/>
      <c r="G70" s="95"/>
      <c r="H70" s="94"/>
      <c r="I70" s="93"/>
      <c r="J70" s="92"/>
      <c r="K70" s="92"/>
    </row>
    <row r="71" spans="1:11" ht="70.150000000000006" customHeight="1">
      <c r="A71" s="90"/>
      <c r="B71" s="99"/>
      <c r="C71" s="92"/>
      <c r="D71" s="227"/>
      <c r="E71" s="228"/>
      <c r="F71" s="228"/>
      <c r="G71" s="95"/>
      <c r="H71" s="94"/>
      <c r="I71" s="93"/>
      <c r="J71" s="92"/>
      <c r="K71" s="92"/>
    </row>
    <row r="72" spans="1:11" ht="70.150000000000006" customHeight="1">
      <c r="A72" s="90"/>
      <c r="B72" s="99"/>
      <c r="C72" s="92"/>
      <c r="D72" s="227"/>
      <c r="E72" s="228"/>
      <c r="F72" s="228"/>
      <c r="G72" s="95"/>
      <c r="H72" s="94"/>
      <c r="I72" s="93"/>
      <c r="J72" s="92"/>
      <c r="K72" s="92"/>
    </row>
    <row r="73" spans="1:11" ht="70.150000000000006" customHeight="1">
      <c r="A73" s="90"/>
      <c r="B73" s="99"/>
      <c r="C73" s="92"/>
      <c r="D73" s="227"/>
      <c r="E73" s="228"/>
      <c r="F73" s="228"/>
      <c r="G73" s="95"/>
      <c r="H73" s="94"/>
      <c r="I73" s="93"/>
      <c r="J73" s="92"/>
      <c r="K73" s="92"/>
    </row>
    <row r="74" spans="1:11" ht="70.150000000000006" customHeight="1">
      <c r="A74" s="90"/>
      <c r="B74" s="99"/>
      <c r="C74" s="92"/>
      <c r="D74" s="227"/>
      <c r="E74" s="228"/>
      <c r="F74" s="228"/>
      <c r="G74" s="95"/>
      <c r="H74" s="94"/>
      <c r="I74" s="93"/>
      <c r="J74" s="92"/>
      <c r="K74" s="92"/>
    </row>
    <row r="75" spans="1:11" ht="70.150000000000006" customHeight="1">
      <c r="A75" s="90"/>
      <c r="B75" s="99"/>
      <c r="C75" s="92"/>
      <c r="D75" s="227"/>
      <c r="E75" s="228"/>
      <c r="F75" s="228"/>
      <c r="G75" s="95"/>
      <c r="H75" s="94"/>
      <c r="I75" s="93"/>
      <c r="J75" s="92"/>
      <c r="K75" s="92"/>
    </row>
    <row r="76" spans="1:11" ht="70.150000000000006" customHeight="1">
      <c r="A76" s="90"/>
      <c r="B76" s="99"/>
      <c r="C76" s="92"/>
      <c r="D76" s="227"/>
      <c r="E76" s="228"/>
      <c r="F76" s="228"/>
      <c r="G76" s="95"/>
      <c r="H76" s="94"/>
      <c r="I76" s="93"/>
      <c r="J76" s="92"/>
      <c r="K76" s="92"/>
    </row>
    <row r="77" spans="1:11" ht="70.150000000000006" customHeight="1">
      <c r="A77" s="90"/>
      <c r="B77" s="99"/>
      <c r="C77" s="92"/>
      <c r="D77" s="227"/>
      <c r="E77" s="228"/>
      <c r="F77" s="228"/>
      <c r="G77" s="95"/>
      <c r="H77" s="94"/>
      <c r="I77" s="93"/>
      <c r="J77" s="92"/>
      <c r="K77" s="92"/>
    </row>
    <row r="78" spans="1:11" ht="70.150000000000006" customHeight="1">
      <c r="A78" s="90"/>
      <c r="B78" s="99"/>
      <c r="C78" s="92"/>
      <c r="D78" s="227"/>
      <c r="E78" s="228"/>
      <c r="F78" s="228"/>
      <c r="G78" s="95"/>
      <c r="H78" s="94"/>
      <c r="I78" s="93"/>
      <c r="J78" s="92"/>
      <c r="K78" s="92"/>
    </row>
    <row r="79" spans="1:11" ht="70.150000000000006" customHeight="1">
      <c r="A79" s="90"/>
      <c r="B79" s="99"/>
      <c r="C79" s="92"/>
      <c r="D79" s="227"/>
      <c r="E79" s="228"/>
      <c r="F79" s="228"/>
      <c r="G79" s="95"/>
      <c r="H79" s="94"/>
      <c r="I79" s="93"/>
      <c r="J79" s="92"/>
      <c r="K79" s="92"/>
    </row>
    <row r="80" spans="1:11" ht="70.150000000000006" customHeight="1">
      <c r="A80" s="90"/>
      <c r="B80" s="99"/>
      <c r="C80" s="92"/>
      <c r="D80" s="227"/>
      <c r="E80" s="228"/>
      <c r="F80" s="228"/>
      <c r="G80" s="95"/>
      <c r="H80" s="94"/>
      <c r="I80" s="93"/>
      <c r="J80" s="92"/>
      <c r="K80" s="92"/>
    </row>
    <row r="81" spans="1:11" ht="70.150000000000006" customHeight="1">
      <c r="A81" s="90"/>
      <c r="B81" s="99"/>
      <c r="C81" s="92"/>
      <c r="D81" s="227"/>
      <c r="E81" s="228"/>
      <c r="F81" s="228"/>
      <c r="G81" s="95"/>
      <c r="H81" s="94"/>
      <c r="I81" s="93"/>
      <c r="J81" s="92"/>
      <c r="K81" s="92"/>
    </row>
    <row r="82" spans="1:11" ht="70.150000000000006" customHeight="1">
      <c r="A82" s="90"/>
      <c r="B82" s="99"/>
      <c r="C82" s="92"/>
      <c r="D82" s="227"/>
      <c r="E82" s="228"/>
      <c r="F82" s="228"/>
      <c r="G82" s="95"/>
      <c r="H82" s="94"/>
      <c r="I82" s="93"/>
      <c r="J82" s="92"/>
      <c r="K82" s="92"/>
    </row>
    <row r="83" spans="1:11" ht="70.150000000000006" customHeight="1">
      <c r="A83" s="90"/>
      <c r="B83" s="99"/>
      <c r="C83" s="92"/>
      <c r="D83" s="227"/>
      <c r="E83" s="228"/>
      <c r="F83" s="228"/>
      <c r="G83" s="95"/>
      <c r="H83" s="94"/>
      <c r="I83" s="93"/>
      <c r="J83" s="92"/>
      <c r="K83" s="92"/>
    </row>
    <row r="84" spans="1:11" ht="70.150000000000006" customHeight="1">
      <c r="A84" s="90"/>
      <c r="B84" s="99"/>
      <c r="C84" s="92"/>
      <c r="D84" s="227"/>
      <c r="E84" s="228"/>
      <c r="F84" s="228"/>
      <c r="G84" s="95"/>
      <c r="H84" s="94"/>
      <c r="I84" s="93"/>
      <c r="J84" s="92"/>
      <c r="K84" s="92"/>
    </row>
    <row r="85" spans="1:11" ht="70.150000000000006" customHeight="1">
      <c r="A85" s="90"/>
      <c r="B85" s="99"/>
      <c r="C85" s="92"/>
      <c r="D85" s="227"/>
      <c r="E85" s="228"/>
      <c r="F85" s="228"/>
      <c r="G85" s="95"/>
      <c r="H85" s="94"/>
      <c r="I85" s="93"/>
      <c r="J85" s="92"/>
      <c r="K85" s="92"/>
    </row>
    <row r="86" spans="1:11" ht="70.150000000000006" customHeight="1">
      <c r="A86" s="90"/>
      <c r="B86" s="99"/>
      <c r="C86" s="92"/>
      <c r="D86" s="227"/>
      <c r="E86" s="228"/>
      <c r="F86" s="228"/>
      <c r="G86" s="95"/>
      <c r="H86" s="94"/>
      <c r="I86" s="93"/>
      <c r="J86" s="92"/>
      <c r="K86" s="92"/>
    </row>
    <row r="87" spans="1:11" ht="70.150000000000006" customHeight="1">
      <c r="A87" s="90"/>
      <c r="B87" s="99"/>
      <c r="C87" s="92"/>
      <c r="D87" s="227"/>
      <c r="E87" s="228"/>
      <c r="F87" s="228"/>
      <c r="G87" s="95"/>
      <c r="H87" s="94"/>
      <c r="I87" s="93"/>
      <c r="J87" s="92"/>
      <c r="K87" s="92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6" t="s">
        <v>0</v>
      </c>
      <c r="B1" s="100" t="s">
        <v>487</v>
      </c>
      <c r="C1" s="100"/>
      <c r="D1" s="100"/>
      <c r="E1" s="67"/>
      <c r="F1" s="67"/>
      <c r="G1" s="67"/>
    </row>
    <row r="2" spans="1:11" ht="14.25">
      <c r="A2" s="69"/>
      <c r="B2" s="101"/>
      <c r="C2" s="101"/>
      <c r="D2" s="101"/>
      <c r="E2" s="67"/>
      <c r="F2" s="67"/>
      <c r="G2" s="67"/>
    </row>
    <row r="3" spans="1:11" ht="14.25">
      <c r="A3" s="70" t="s">
        <v>61</v>
      </c>
      <c r="B3" s="170" t="s">
        <v>62</v>
      </c>
      <c r="C3" s="170"/>
      <c r="D3" s="171"/>
      <c r="E3" s="71"/>
      <c r="F3" s="71"/>
      <c r="G3" s="71"/>
    </row>
    <row r="4" spans="1:11" ht="14.25">
      <c r="A4" s="74" t="s">
        <v>63</v>
      </c>
      <c r="B4" s="173" t="s">
        <v>488</v>
      </c>
      <c r="C4" s="174"/>
      <c r="D4" s="175"/>
      <c r="E4" s="71"/>
      <c r="F4" s="71"/>
      <c r="G4" s="71"/>
    </row>
    <row r="5" spans="1:11">
      <c r="A5" s="74" t="s">
        <v>65</v>
      </c>
      <c r="B5" s="176" t="s">
        <v>66</v>
      </c>
      <c r="C5" s="177"/>
      <c r="D5" s="178"/>
      <c r="E5" s="75"/>
      <c r="F5" s="75"/>
      <c r="G5" s="75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</row>
    <row r="7" spans="1:11" ht="14.25">
      <c r="A7" s="81" t="s">
        <v>69</v>
      </c>
      <c r="B7" s="82">
        <v>0</v>
      </c>
      <c r="C7" s="83" t="s">
        <v>70</v>
      </c>
      <c r="D7" s="84">
        <v>11</v>
      </c>
      <c r="E7" s="85"/>
      <c r="F7" s="85"/>
      <c r="G7" s="85"/>
    </row>
    <row r="8" spans="1:11" ht="14.25">
      <c r="A8" s="237"/>
      <c r="B8" s="237"/>
      <c r="C8" s="237"/>
      <c r="D8" s="237"/>
      <c r="E8" s="72"/>
      <c r="F8" s="72"/>
      <c r="G8" s="72"/>
    </row>
    <row r="9" spans="1:1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</row>
    <row r="10" spans="1:1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</row>
    <row r="11" spans="1:1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1">
      <c r="A12" s="183" t="s">
        <v>489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1" ht="38.25">
      <c r="A13" s="90" t="s">
        <v>80</v>
      </c>
      <c r="B13" s="92" t="s">
        <v>490</v>
      </c>
      <c r="C13" s="92" t="s">
        <v>491</v>
      </c>
      <c r="D13" s="186" t="s">
        <v>492</v>
      </c>
      <c r="E13" s="187"/>
      <c r="F13" s="187"/>
      <c r="G13" s="188"/>
      <c r="H13" s="94"/>
      <c r="I13" s="96"/>
      <c r="J13" s="92" t="s">
        <v>68</v>
      </c>
      <c r="K13" s="92"/>
    </row>
    <row r="14" spans="1:11">
      <c r="A14" s="183" t="s">
        <v>493</v>
      </c>
      <c r="B14" s="184"/>
      <c r="C14" s="184"/>
      <c r="D14" s="184"/>
      <c r="E14" s="184"/>
      <c r="F14" s="184"/>
      <c r="G14" s="184"/>
      <c r="H14" s="184"/>
      <c r="I14" s="184"/>
      <c r="J14" s="184"/>
      <c r="K14" s="185"/>
    </row>
    <row r="15" spans="1:11" ht="25.5">
      <c r="A15" s="102" t="s">
        <v>85</v>
      </c>
      <c r="B15" s="102" t="s">
        <v>494</v>
      </c>
      <c r="C15" s="102" t="s">
        <v>495</v>
      </c>
      <c r="D15" s="189" t="s">
        <v>496</v>
      </c>
      <c r="E15" s="190"/>
      <c r="F15" s="190"/>
      <c r="G15" s="191"/>
      <c r="H15" s="103"/>
      <c r="I15" s="103"/>
      <c r="J15" s="104" t="s">
        <v>68</v>
      </c>
      <c r="K15" s="103"/>
    </row>
    <row r="16" spans="1:11">
      <c r="A16" s="183" t="s">
        <v>497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5"/>
    </row>
    <row r="17" spans="1:11" ht="38.25">
      <c r="A17" s="102" t="s">
        <v>90</v>
      </c>
      <c r="B17" s="102" t="s">
        <v>498</v>
      </c>
      <c r="C17" s="102" t="s">
        <v>499</v>
      </c>
      <c r="D17" s="189" t="s">
        <v>500</v>
      </c>
      <c r="E17" s="190"/>
      <c r="F17" s="190"/>
      <c r="G17" s="191"/>
      <c r="H17" s="103"/>
      <c r="I17" s="103"/>
      <c r="J17" s="104" t="s">
        <v>68</v>
      </c>
      <c r="K17" s="103"/>
    </row>
    <row r="18" spans="1:11">
      <c r="A18" s="183" t="s">
        <v>501</v>
      </c>
      <c r="B18" s="184"/>
      <c r="C18" s="184"/>
      <c r="D18" s="184"/>
      <c r="E18" s="184"/>
      <c r="F18" s="184"/>
      <c r="G18" s="184"/>
      <c r="H18" s="184"/>
      <c r="I18" s="184"/>
      <c r="J18" s="184"/>
      <c r="K18" s="185"/>
    </row>
    <row r="19" spans="1:11" ht="38.25">
      <c r="A19" s="102" t="s">
        <v>95</v>
      </c>
      <c r="B19" s="102" t="s">
        <v>502</v>
      </c>
      <c r="C19" s="102" t="s">
        <v>503</v>
      </c>
      <c r="D19" s="189" t="s">
        <v>504</v>
      </c>
      <c r="E19" s="190"/>
      <c r="F19" s="190"/>
      <c r="G19" s="191"/>
      <c r="H19" s="103"/>
      <c r="I19" s="103"/>
      <c r="J19" s="104" t="s">
        <v>68</v>
      </c>
      <c r="K19" s="103"/>
    </row>
    <row r="20" spans="1:11">
      <c r="A20" s="183" t="s">
        <v>505</v>
      </c>
      <c r="B20" s="184"/>
      <c r="C20" s="184"/>
      <c r="D20" s="184"/>
      <c r="E20" s="184"/>
      <c r="F20" s="184"/>
      <c r="G20" s="184"/>
      <c r="H20" s="184"/>
      <c r="I20" s="184"/>
      <c r="J20" s="184"/>
      <c r="K20" s="185"/>
    </row>
    <row r="21" spans="1:11" ht="38.25">
      <c r="A21" s="102" t="s">
        <v>100</v>
      </c>
      <c r="B21" s="102" t="s">
        <v>506</v>
      </c>
      <c r="C21" s="102" t="s">
        <v>507</v>
      </c>
      <c r="D21" s="189" t="s">
        <v>508</v>
      </c>
      <c r="E21" s="190"/>
      <c r="F21" s="190"/>
      <c r="G21" s="191"/>
      <c r="H21" s="103"/>
      <c r="I21" s="103"/>
      <c r="J21" s="104" t="s">
        <v>68</v>
      </c>
      <c r="K21" s="103"/>
    </row>
    <row r="22" spans="1:11">
      <c r="A22" s="183" t="s">
        <v>509</v>
      </c>
      <c r="B22" s="184"/>
      <c r="C22" s="184"/>
      <c r="D22" s="184"/>
      <c r="E22" s="184"/>
      <c r="F22" s="184"/>
      <c r="G22" s="184"/>
      <c r="H22" s="184"/>
      <c r="I22" s="184"/>
      <c r="J22" s="184"/>
      <c r="K22" s="185"/>
    </row>
    <row r="23" spans="1:11" ht="38.25">
      <c r="A23" s="102" t="s">
        <v>104</v>
      </c>
      <c r="B23" s="102" t="s">
        <v>510</v>
      </c>
      <c r="C23" s="102" t="s">
        <v>511</v>
      </c>
      <c r="D23" s="189" t="s">
        <v>512</v>
      </c>
      <c r="E23" s="190"/>
      <c r="F23" s="190"/>
      <c r="G23" s="191"/>
      <c r="H23" s="103"/>
      <c r="I23" s="103"/>
      <c r="J23" s="104" t="s">
        <v>68</v>
      </c>
      <c r="K23" s="103"/>
    </row>
    <row r="24" spans="1:11">
      <c r="A24" s="183" t="s">
        <v>513</v>
      </c>
      <c r="B24" s="184"/>
      <c r="C24" s="184"/>
      <c r="D24" s="184"/>
      <c r="E24" s="184"/>
      <c r="F24" s="184"/>
      <c r="G24" s="184"/>
      <c r="H24" s="184"/>
      <c r="I24" s="184"/>
      <c r="J24" s="184"/>
      <c r="K24" s="185"/>
    </row>
    <row r="25" spans="1:11" ht="38.25">
      <c r="A25" s="102" t="s">
        <v>109</v>
      </c>
      <c r="B25" s="102" t="s">
        <v>514</v>
      </c>
      <c r="C25" s="102" t="s">
        <v>515</v>
      </c>
      <c r="D25" s="189" t="s">
        <v>516</v>
      </c>
      <c r="E25" s="190"/>
      <c r="F25" s="190"/>
      <c r="G25" s="191"/>
      <c r="H25" s="103"/>
      <c r="I25" s="103"/>
      <c r="J25" s="104" t="s">
        <v>68</v>
      </c>
      <c r="K25" s="103"/>
    </row>
    <row r="26" spans="1:11">
      <c r="A26" s="183" t="s">
        <v>517</v>
      </c>
      <c r="B26" s="184"/>
      <c r="C26" s="184"/>
      <c r="D26" s="184"/>
      <c r="E26" s="184"/>
      <c r="F26" s="184"/>
      <c r="G26" s="184"/>
      <c r="H26" s="184"/>
      <c r="I26" s="184"/>
      <c r="J26" s="184"/>
      <c r="K26" s="185"/>
    </row>
    <row r="27" spans="1:11" ht="38.25">
      <c r="A27" s="102" t="s">
        <v>113</v>
      </c>
      <c r="B27" s="102" t="s">
        <v>518</v>
      </c>
      <c r="C27" s="102" t="s">
        <v>519</v>
      </c>
      <c r="D27" s="189" t="s">
        <v>520</v>
      </c>
      <c r="E27" s="190"/>
      <c r="F27" s="190"/>
      <c r="G27" s="191"/>
      <c r="H27" s="103"/>
      <c r="I27" s="103"/>
      <c r="J27" s="104" t="s">
        <v>68</v>
      </c>
      <c r="K27" s="103"/>
    </row>
    <row r="28" spans="1:11">
      <c r="A28" s="183" t="s">
        <v>521</v>
      </c>
      <c r="B28" s="184"/>
      <c r="C28" s="184"/>
      <c r="D28" s="184"/>
      <c r="E28" s="184"/>
      <c r="F28" s="184"/>
      <c r="G28" s="184"/>
      <c r="H28" s="184"/>
      <c r="I28" s="184"/>
      <c r="J28" s="184"/>
      <c r="K28" s="185"/>
    </row>
    <row r="29" spans="1:11" ht="38.25">
      <c r="A29" s="102" t="s">
        <v>118</v>
      </c>
      <c r="B29" s="102" t="s">
        <v>522</v>
      </c>
      <c r="C29" s="102" t="s">
        <v>523</v>
      </c>
      <c r="D29" s="189" t="s">
        <v>524</v>
      </c>
      <c r="E29" s="190"/>
      <c r="F29" s="190"/>
      <c r="G29" s="191"/>
      <c r="H29" s="103"/>
      <c r="I29" s="103"/>
      <c r="J29" s="104" t="s">
        <v>68</v>
      </c>
      <c r="K29" s="103"/>
    </row>
    <row r="30" spans="1:11">
      <c r="A30" s="183" t="s">
        <v>525</v>
      </c>
      <c r="B30" s="184"/>
      <c r="C30" s="184"/>
      <c r="D30" s="184"/>
      <c r="E30" s="184"/>
      <c r="F30" s="184"/>
      <c r="G30" s="184"/>
      <c r="H30" s="184"/>
      <c r="I30" s="184"/>
      <c r="J30" s="184"/>
      <c r="K30" s="185"/>
    </row>
    <row r="31" spans="1:11" ht="38.25">
      <c r="A31" s="102" t="s">
        <v>122</v>
      </c>
      <c r="B31" s="102" t="s">
        <v>526</v>
      </c>
      <c r="C31" s="102" t="s">
        <v>527</v>
      </c>
      <c r="D31" s="189" t="s">
        <v>528</v>
      </c>
      <c r="E31" s="190"/>
      <c r="F31" s="190"/>
      <c r="G31" s="191"/>
      <c r="H31" s="103"/>
      <c r="I31" s="103"/>
      <c r="J31" s="104" t="s">
        <v>68</v>
      </c>
      <c r="K31" s="103"/>
    </row>
    <row r="32" spans="1:11">
      <c r="A32" s="183" t="s">
        <v>529</v>
      </c>
      <c r="B32" s="184"/>
      <c r="C32" s="184"/>
      <c r="D32" s="184"/>
      <c r="E32" s="184"/>
      <c r="F32" s="184"/>
      <c r="G32" s="184"/>
      <c r="H32" s="184"/>
      <c r="I32" s="184"/>
      <c r="J32" s="184"/>
      <c r="K32" s="185"/>
    </row>
    <row r="33" spans="1:11" ht="38.25">
      <c r="A33" s="102" t="s">
        <v>126</v>
      </c>
      <c r="B33" s="102" t="s">
        <v>530</v>
      </c>
      <c r="C33" s="102" t="s">
        <v>531</v>
      </c>
      <c r="D33" s="189" t="s">
        <v>524</v>
      </c>
      <c r="E33" s="190"/>
      <c r="F33" s="190"/>
      <c r="G33" s="191"/>
      <c r="H33" s="103"/>
      <c r="I33" s="103"/>
      <c r="J33" s="104" t="s">
        <v>68</v>
      </c>
      <c r="K33" s="103"/>
    </row>
  </sheetData>
  <mergeCells count="35"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12:K12"/>
    <mergeCell ref="D13:G13"/>
    <mergeCell ref="A14:K14"/>
    <mergeCell ref="D15:G15"/>
    <mergeCell ref="A16:K16"/>
    <mergeCell ref="B3:D3"/>
    <mergeCell ref="B4:D4"/>
    <mergeCell ref="B5:D5"/>
    <mergeCell ref="A8:D8"/>
    <mergeCell ref="A11:K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60" customFormat="1" ht="12.75" customHeight="1">
      <c r="A1" s="66" t="s">
        <v>0</v>
      </c>
      <c r="B1" s="239"/>
      <c r="C1" s="239"/>
      <c r="D1" s="239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240"/>
      <c r="C2" s="240"/>
      <c r="D2" s="240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70" t="s">
        <v>61</v>
      </c>
      <c r="B3" s="170" t="s">
        <v>532</v>
      </c>
      <c r="C3" s="170"/>
      <c r="D3" s="171"/>
      <c r="E3" s="71"/>
      <c r="F3" s="71"/>
      <c r="G3" s="71"/>
      <c r="H3" s="71"/>
      <c r="I3" s="172"/>
      <c r="J3" s="172"/>
      <c r="K3" s="172"/>
      <c r="L3" s="73"/>
    </row>
    <row r="4" spans="1:12" s="61" customFormat="1" ht="12.75">
      <c r="A4" s="74" t="s">
        <v>63</v>
      </c>
      <c r="B4" s="173" t="s">
        <v>533</v>
      </c>
      <c r="C4" s="174"/>
      <c r="D4" s="175"/>
      <c r="E4" s="71"/>
      <c r="F4" s="71"/>
      <c r="G4" s="71"/>
      <c r="H4" s="71"/>
      <c r="I4" s="172"/>
      <c r="J4" s="172"/>
      <c r="K4" s="172"/>
      <c r="L4" s="73"/>
    </row>
    <row r="5" spans="1:12" s="62" customFormat="1" ht="25.5">
      <c r="A5" s="74" t="s">
        <v>65</v>
      </c>
      <c r="B5" s="176" t="s">
        <v>66</v>
      </c>
      <c r="C5" s="177"/>
      <c r="D5" s="178"/>
      <c r="E5" s="75"/>
      <c r="F5" s="75"/>
      <c r="G5" s="75"/>
      <c r="H5" s="75"/>
      <c r="I5" s="179"/>
      <c r="J5" s="179"/>
      <c r="K5" s="179"/>
      <c r="L5" s="76"/>
    </row>
    <row r="6" spans="1:12" s="61" customFormat="1" ht="15" customHeight="1">
      <c r="A6" s="77" t="s">
        <v>67</v>
      </c>
      <c r="B6" s="78">
        <f>COUNTIF(J12:J17,"Pass")</f>
        <v>3</v>
      </c>
      <c r="C6" s="79" t="s">
        <v>68</v>
      </c>
      <c r="D6" s="80">
        <f>COUNTIF(J10:J736,"Pending")</f>
        <v>0</v>
      </c>
      <c r="E6" s="72"/>
      <c r="F6" s="72"/>
      <c r="G6" s="72"/>
      <c r="H6" s="72"/>
      <c r="I6" s="172"/>
      <c r="J6" s="172"/>
      <c r="K6" s="172"/>
      <c r="L6" s="73"/>
    </row>
    <row r="7" spans="1:12" s="61" customFormat="1" ht="15" customHeight="1">
      <c r="A7" s="81" t="s">
        <v>69</v>
      </c>
      <c r="B7" s="82">
        <f>COUNTIF(J12:J17,"Fail")</f>
        <v>0</v>
      </c>
      <c r="C7" s="83" t="s">
        <v>70</v>
      </c>
      <c r="D7" s="84">
        <f>COUNTA(A12:A17)-15</f>
        <v>-9</v>
      </c>
      <c r="E7" s="85"/>
      <c r="F7" s="85"/>
      <c r="G7" s="85"/>
      <c r="H7" s="85"/>
      <c r="I7" s="172"/>
      <c r="J7" s="172"/>
      <c r="K7" s="172"/>
      <c r="L7" s="73"/>
    </row>
    <row r="8" spans="1:12" s="61" customFormat="1" ht="15" customHeight="1">
      <c r="A8" s="180"/>
      <c r="B8" s="180"/>
      <c r="C8" s="180"/>
      <c r="D8" s="180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205" t="s">
        <v>71</v>
      </c>
      <c r="B9" s="207" t="s">
        <v>72</v>
      </c>
      <c r="C9" s="205" t="s">
        <v>73</v>
      </c>
      <c r="D9" s="211" t="s">
        <v>74</v>
      </c>
      <c r="E9" s="212"/>
      <c r="F9" s="212"/>
      <c r="G9" s="213"/>
      <c r="H9" s="209" t="s">
        <v>75</v>
      </c>
      <c r="I9" s="210" t="s">
        <v>76</v>
      </c>
      <c r="J9" s="210" t="s">
        <v>77</v>
      </c>
      <c r="K9" s="210" t="s">
        <v>78</v>
      </c>
      <c r="L9" s="87"/>
    </row>
    <row r="10" spans="1:12" s="61" customFormat="1" ht="12" customHeight="1">
      <c r="A10" s="206"/>
      <c r="B10" s="208"/>
      <c r="C10" s="206"/>
      <c r="D10" s="214"/>
      <c r="E10" s="215"/>
      <c r="F10" s="215"/>
      <c r="G10" s="216"/>
      <c r="H10" s="205"/>
      <c r="I10" s="205"/>
      <c r="J10" s="205"/>
      <c r="K10" s="205"/>
      <c r="L10" s="73"/>
    </row>
    <row r="11" spans="1:12" s="64" customFormat="1" ht="15">
      <c r="A11" s="181"/>
      <c r="B11" s="181"/>
      <c r="C11" s="181"/>
      <c r="D11" s="181"/>
      <c r="E11" s="181"/>
      <c r="F11" s="181"/>
      <c r="G11" s="181"/>
      <c r="H11" s="181"/>
      <c r="I11" s="181"/>
      <c r="J11" s="181"/>
      <c r="K11" s="182"/>
    </row>
    <row r="12" spans="1:12" s="65" customFormat="1" ht="12.75">
      <c r="A12" s="183" t="s">
        <v>534</v>
      </c>
      <c r="B12" s="184"/>
      <c r="C12" s="184"/>
      <c r="D12" s="184"/>
      <c r="E12" s="184"/>
      <c r="F12" s="184"/>
      <c r="G12" s="184"/>
      <c r="H12" s="184"/>
      <c r="I12" s="184"/>
      <c r="J12" s="184"/>
      <c r="K12" s="185"/>
    </row>
    <row r="13" spans="1:12" s="65" customFormat="1" ht="76.5" outlineLevel="1">
      <c r="A13" s="90" t="s">
        <v>80</v>
      </c>
      <c r="B13" s="91" t="s">
        <v>535</v>
      </c>
      <c r="C13" s="92" t="s">
        <v>536</v>
      </c>
      <c r="D13" s="194" t="s">
        <v>537</v>
      </c>
      <c r="E13" s="187"/>
      <c r="F13" s="187"/>
      <c r="G13" s="95"/>
      <c r="H13" s="94"/>
      <c r="I13" s="96"/>
      <c r="J13" s="92" t="s">
        <v>67</v>
      </c>
      <c r="K13" s="92"/>
    </row>
    <row r="14" spans="1:12" s="65" customFormat="1" ht="12.75" outlineLevel="1">
      <c r="A14" s="238" t="s">
        <v>538</v>
      </c>
      <c r="B14" s="222"/>
      <c r="C14" s="222"/>
      <c r="D14" s="88"/>
      <c r="E14" s="88"/>
      <c r="F14" s="88"/>
      <c r="G14" s="88"/>
      <c r="H14" s="88"/>
      <c r="I14" s="88"/>
      <c r="J14" s="88"/>
      <c r="K14" s="89"/>
    </row>
    <row r="15" spans="1:12" s="65" customFormat="1" ht="63.75" customHeight="1" outlineLevel="1">
      <c r="A15" s="90" t="s">
        <v>85</v>
      </c>
      <c r="B15" s="97" t="s">
        <v>539</v>
      </c>
      <c r="C15" s="98" t="s">
        <v>540</v>
      </c>
      <c r="D15" s="227" t="s">
        <v>541</v>
      </c>
      <c r="E15" s="187"/>
      <c r="F15" s="187"/>
      <c r="G15" s="95"/>
      <c r="H15" s="94"/>
      <c r="I15" s="93"/>
      <c r="J15" s="92" t="s">
        <v>67</v>
      </c>
      <c r="K15" s="92"/>
    </row>
    <row r="16" spans="1:12" s="65" customFormat="1" ht="12.75" outlineLevel="1">
      <c r="A16" s="238" t="s">
        <v>542</v>
      </c>
      <c r="B16" s="222"/>
      <c r="C16" s="222"/>
      <c r="D16" s="88"/>
      <c r="E16" s="88"/>
      <c r="F16" s="88"/>
      <c r="G16" s="88"/>
      <c r="H16" s="88"/>
      <c r="I16" s="88"/>
      <c r="J16" s="88"/>
      <c r="K16" s="89"/>
    </row>
    <row r="17" spans="1:11" s="65" customFormat="1" ht="63.75" customHeight="1" outlineLevel="1">
      <c r="A17" s="90" t="s">
        <v>90</v>
      </c>
      <c r="B17" s="99" t="s">
        <v>539</v>
      </c>
      <c r="C17" s="92" t="s">
        <v>543</v>
      </c>
      <c r="D17" s="227" t="s">
        <v>544</v>
      </c>
      <c r="E17" s="228"/>
      <c r="F17" s="228"/>
      <c r="G17" s="95"/>
      <c r="H17" s="94"/>
      <c r="I17" s="93"/>
      <c r="J17" s="92" t="s">
        <v>67</v>
      </c>
      <c r="K17" s="92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tabSelected="1" topLeftCell="A10" zoomScaleNormal="100" workbookViewId="0">
      <selection activeCell="G16" sqref="G16:H16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50"/>
    </row>
    <row r="2" spans="1:8" ht="14.25" customHeight="1">
      <c r="A2" s="4"/>
      <c r="B2" s="2"/>
      <c r="C2" s="3"/>
      <c r="D2" s="3"/>
      <c r="E2" s="3"/>
      <c r="F2" s="3"/>
      <c r="G2" s="50"/>
    </row>
    <row r="3" spans="1:8" ht="14.25">
      <c r="B3" s="5" t="s">
        <v>546</v>
      </c>
      <c r="C3" s="3"/>
      <c r="D3" s="3"/>
      <c r="E3" s="3"/>
      <c r="F3" s="3"/>
      <c r="G3" s="50"/>
    </row>
    <row r="4" spans="1:8" ht="14.25">
      <c r="B4" s="5" t="s">
        <v>547</v>
      </c>
      <c r="C4" s="51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52" t="s">
        <v>548</v>
      </c>
      <c r="C7" s="53" t="s">
        <v>549</v>
      </c>
      <c r="D7" s="54" t="s">
        <v>67</v>
      </c>
      <c r="E7" s="53" t="s">
        <v>69</v>
      </c>
      <c r="F7" s="53" t="s">
        <v>68</v>
      </c>
      <c r="G7" s="241" t="s">
        <v>550</v>
      </c>
      <c r="H7" s="242"/>
    </row>
    <row r="8" spans="1:8" s="49" customFormat="1" ht="40.15" customHeight="1">
      <c r="A8" s="15"/>
      <c r="B8" s="55">
        <v>1</v>
      </c>
      <c r="C8" s="56" t="s">
        <v>551</v>
      </c>
      <c r="D8" s="55">
        <f>COUNTIF(Auth!J10:J29, "Pass")</f>
        <v>0</v>
      </c>
      <c r="E8" s="55">
        <f>COUNTIF(Auth!J10:J29, "Fail")</f>
        <v>0</v>
      </c>
      <c r="F8" s="55">
        <f>COUNTIF(Auth!J10:J29, "Pending")</f>
        <v>0</v>
      </c>
      <c r="G8" s="251">
        <f>Auth!D7</f>
        <v>26</v>
      </c>
      <c r="H8" s="243"/>
    </row>
    <row r="9" spans="1:8" s="49" customFormat="1" ht="40.15" customHeight="1">
      <c r="A9" s="15"/>
      <c r="B9" s="57">
        <v>2</v>
      </c>
      <c r="C9" s="58" t="s">
        <v>552</v>
      </c>
      <c r="D9" s="55">
        <f>COUNTIF(Home!J10:J29, "Pass")</f>
        <v>0</v>
      </c>
      <c r="E9" s="55">
        <f>COUNTIF(Home!J10:J29, "Fail")</f>
        <v>0</v>
      </c>
      <c r="F9" s="55">
        <f>COUNTIF(Home!J10:J29, "Pending")</f>
        <v>0</v>
      </c>
      <c r="G9" s="252">
        <f>Home!D7</f>
        <v>17</v>
      </c>
      <c r="H9" s="244"/>
    </row>
    <row r="10" spans="1:8" s="49" customFormat="1" ht="40.15" customHeight="1">
      <c r="A10" s="15"/>
      <c r="B10" s="55">
        <v>3</v>
      </c>
      <c r="C10" s="56" t="s">
        <v>553</v>
      </c>
      <c r="D10" s="55">
        <f>COUNTIF(Favorite!J10:J29, "Pass")</f>
        <v>0</v>
      </c>
      <c r="E10" s="55">
        <f>COUNTIF(Favorite!J10:J29, "Fail")</f>
        <v>0</v>
      </c>
      <c r="F10" s="55">
        <f>COUNTIF(Favorite!J10:J29, "Pending")</f>
        <v>8</v>
      </c>
      <c r="G10" s="253">
        <f>Favorite!D7</f>
        <v>8</v>
      </c>
      <c r="H10" s="243"/>
    </row>
    <row r="11" spans="1:8" s="49" customFormat="1" ht="40.15" customHeight="1">
      <c r="A11" s="15"/>
      <c r="B11" s="57">
        <v>4</v>
      </c>
      <c r="C11" s="58" t="s">
        <v>554</v>
      </c>
      <c r="D11" s="55">
        <f>COUNTIF(Booking!J10:J42, "Pass")</f>
        <v>0</v>
      </c>
      <c r="E11" s="55">
        <f>COUNTIF(Booking!J10:J42, "Fail")</f>
        <v>0</v>
      </c>
      <c r="F11" s="55">
        <f>COUNTIF(Booking!J10:J42, "Pending")</f>
        <v>23</v>
      </c>
      <c r="G11" s="252">
        <f>Booking!D7</f>
        <v>23</v>
      </c>
      <c r="H11" s="244"/>
    </row>
    <row r="12" spans="1:8" s="49" customFormat="1" ht="40.15" customHeight="1">
      <c r="A12" s="15"/>
      <c r="B12" s="55">
        <v>5</v>
      </c>
      <c r="C12" s="56" t="s">
        <v>555</v>
      </c>
      <c r="D12" s="55">
        <f>COUNTIF('Cancel Booking'!J10:J29, "Pass")</f>
        <v>0</v>
      </c>
      <c r="E12" s="55">
        <f>COUNTIF('Cancel Booking'!J10:J29, "Fail")</f>
        <v>0</v>
      </c>
      <c r="F12" s="55">
        <f>COUNTIF('Cancel Booking'!J10:J29, "Pending")</f>
        <v>12</v>
      </c>
      <c r="G12" s="251">
        <f>'Cancel Booking'!D7</f>
        <v>12</v>
      </c>
      <c r="H12" s="243"/>
    </row>
    <row r="13" spans="1:8" s="49" customFormat="1" ht="40.15" customHeight="1">
      <c r="A13" s="15"/>
      <c r="B13" s="57">
        <v>6</v>
      </c>
      <c r="C13" s="58" t="s">
        <v>556</v>
      </c>
      <c r="D13" s="55">
        <f>COUNTIF(Review!J10:J29, "Pass")</f>
        <v>0</v>
      </c>
      <c r="E13" s="55">
        <f>COUNTIF(Review!J10:J29, "Fail")</f>
        <v>0</v>
      </c>
      <c r="F13" s="55">
        <f>COUNTIF(Review!J10:J29, "Pending")</f>
        <v>10</v>
      </c>
      <c r="G13" s="252">
        <f>Review!D7</f>
        <v>10</v>
      </c>
      <c r="H13" s="244"/>
    </row>
    <row r="14" spans="1:8" s="49" customFormat="1" ht="40.15" customHeight="1">
      <c r="A14" s="15"/>
      <c r="B14" s="55">
        <v>7</v>
      </c>
      <c r="C14" s="56" t="s">
        <v>557</v>
      </c>
      <c r="D14" s="55">
        <f>COUNTIF(Admin!J10:J29, "Pass")</f>
        <v>0</v>
      </c>
      <c r="E14" s="55">
        <f>COUNTIF(Admin!J10:J29, "Fail")</f>
        <v>0</v>
      </c>
      <c r="F14" s="55">
        <f>COUNTIF(Admin!J10:J29, "Pending")</f>
        <v>0</v>
      </c>
      <c r="G14" s="251">
        <f>Admin!D7</f>
        <v>14</v>
      </c>
      <c r="H14" s="243"/>
    </row>
    <row r="15" spans="1:8" ht="40.15" customHeight="1">
      <c r="A15" s="5"/>
      <c r="B15" s="57">
        <v>8</v>
      </c>
      <c r="C15" s="58" t="s">
        <v>558</v>
      </c>
      <c r="D15" s="55">
        <f>COUNTIF(Venue!J10:J29, "Pass")</f>
        <v>0</v>
      </c>
      <c r="E15" s="55">
        <f>COUNTIF(Venue!J10:J29, "Fail")</f>
        <v>0</v>
      </c>
      <c r="F15" s="55">
        <f>COUNTIF(Venue!J10:J29, "Pending")</f>
        <v>6</v>
      </c>
      <c r="G15" s="252">
        <f>Venue!D7</f>
        <v>6</v>
      </c>
      <c r="H15" s="244"/>
    </row>
    <row r="16" spans="1:8" ht="40.15" customHeight="1">
      <c r="A16" s="5"/>
      <c r="B16" s="38"/>
      <c r="C16" s="39" t="s">
        <v>559</v>
      </c>
      <c r="D16" s="41">
        <f t="shared" ref="D16:E16" si="0">SUM(D8:D15)</f>
        <v>0</v>
      </c>
      <c r="E16" s="41">
        <f t="shared" si="0"/>
        <v>0</v>
      </c>
      <c r="F16" s="41">
        <f>SUM(F8:F15)</f>
        <v>59</v>
      </c>
      <c r="G16" s="254">
        <f>SUM(G8:H15)</f>
        <v>116</v>
      </c>
      <c r="H16" s="245"/>
    </row>
    <row r="17" spans="1:9" ht="14.25">
      <c r="A17" s="5"/>
      <c r="B17" s="45"/>
      <c r="C17" s="5"/>
      <c r="D17" s="46"/>
      <c r="E17" s="47"/>
      <c r="F17" s="47"/>
      <c r="G17" s="47"/>
    </row>
    <row r="18" spans="1:9" ht="14.25">
      <c r="A18" s="5"/>
      <c r="B18" s="5"/>
      <c r="C18" s="5" t="s">
        <v>560</v>
      </c>
      <c r="D18" s="5"/>
      <c r="E18" s="48">
        <f>(D16+E16)*100/G16</f>
        <v>0</v>
      </c>
      <c r="F18" s="5" t="s">
        <v>561</v>
      </c>
      <c r="G18" s="59"/>
    </row>
    <row r="19" spans="1:9" ht="14.25">
      <c r="A19" s="5"/>
      <c r="B19" s="5"/>
      <c r="C19" s="5" t="s">
        <v>562</v>
      </c>
      <c r="D19" s="5"/>
      <c r="E19" s="48">
        <f>D16*100/G16</f>
        <v>0</v>
      </c>
      <c r="F19" s="5" t="s">
        <v>561</v>
      </c>
      <c r="G19" s="59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15"/>
      <c r="B30" s="246" t="s">
        <v>571</v>
      </c>
      <c r="C30" s="16" t="s">
        <v>572</v>
      </c>
      <c r="D30" s="17">
        <v>12</v>
      </c>
      <c r="E30" s="18">
        <v>0</v>
      </c>
      <c r="F30" s="19">
        <v>1</v>
      </c>
      <c r="G30" s="20" t="s">
        <v>573</v>
      </c>
      <c r="H30" s="21" t="s">
        <v>573</v>
      </c>
      <c r="I30" s="249"/>
    </row>
    <row r="31" spans="1:9" ht="13.5" customHeight="1">
      <c r="A31" s="15"/>
      <c r="B31" s="247"/>
      <c r="C31" s="16" t="s">
        <v>574</v>
      </c>
      <c r="D31" s="22">
        <v>92</v>
      </c>
      <c r="E31" s="23">
        <v>4</v>
      </c>
      <c r="F31" s="24">
        <v>0.96</v>
      </c>
      <c r="G31" s="25" t="s">
        <v>575</v>
      </c>
      <c r="H31" s="26" t="s">
        <v>576</v>
      </c>
      <c r="I31" s="249"/>
    </row>
    <row r="32" spans="1:9" ht="13.5" customHeight="1">
      <c r="A32" s="15"/>
      <c r="B32" s="247"/>
      <c r="C32" s="16" t="s">
        <v>577</v>
      </c>
      <c r="D32" s="22">
        <v>137</v>
      </c>
      <c r="E32" s="27">
        <v>29</v>
      </c>
      <c r="F32" s="28">
        <v>0.79</v>
      </c>
      <c r="G32" s="29" t="s">
        <v>583</v>
      </c>
      <c r="H32" s="30" t="s">
        <v>578</v>
      </c>
      <c r="I32" s="249"/>
    </row>
    <row r="33" spans="1:9" ht="12.75" customHeight="1">
      <c r="A33" s="15"/>
      <c r="B33" s="247"/>
      <c r="C33" s="16" t="s">
        <v>579</v>
      </c>
      <c r="D33" s="22">
        <v>541</v>
      </c>
      <c r="E33" s="31">
        <v>123</v>
      </c>
      <c r="F33" s="32">
        <v>0.83</v>
      </c>
      <c r="G33" s="250" t="s">
        <v>584</v>
      </c>
      <c r="H33" s="33" t="s">
        <v>585</v>
      </c>
      <c r="I33" s="249"/>
    </row>
    <row r="34" spans="1:9" ht="11.25" customHeight="1">
      <c r="A34" s="15"/>
      <c r="B34" s="248"/>
      <c r="C34" s="16" t="s">
        <v>580</v>
      </c>
      <c r="D34" s="22">
        <v>167</v>
      </c>
      <c r="E34" s="34">
        <v>5</v>
      </c>
      <c r="F34" s="35">
        <v>0.97</v>
      </c>
      <c r="G34" s="36" t="s">
        <v>581</v>
      </c>
      <c r="H34" s="37" t="s">
        <v>582</v>
      </c>
      <c r="I34" s="249"/>
    </row>
    <row r="35" spans="1:9" ht="14.25">
      <c r="A35" s="5"/>
      <c r="B35" s="38"/>
      <c r="C35" s="39" t="s">
        <v>559</v>
      </c>
      <c r="D35" s="40">
        <f>SUM(D28:D34)</f>
        <v>949</v>
      </c>
      <c r="E35" s="41">
        <f>SUM(E28:E34)</f>
        <v>161</v>
      </c>
      <c r="F35" s="40"/>
      <c r="G35" s="42"/>
      <c r="H35" s="43"/>
      <c r="I35" s="44"/>
    </row>
    <row r="36" spans="1:9" ht="14.25">
      <c r="A36" s="5"/>
      <c r="B36" s="45"/>
      <c r="C36" s="5"/>
      <c r="D36" s="46"/>
      <c r="E36" s="47"/>
      <c r="F36" s="47"/>
      <c r="G36" s="47"/>
      <c r="H36" s="47"/>
      <c r="I36" s="47"/>
    </row>
  </sheetData>
  <mergeCells count="12">
    <mergeCell ref="B30:B34"/>
    <mergeCell ref="I30:I34"/>
    <mergeCell ref="G12:H12"/>
    <mergeCell ref="G13:H13"/>
    <mergeCell ref="G14:H14"/>
    <mergeCell ref="G15:H15"/>
    <mergeCell ref="G16:H16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2006-08-02T10:15:00Z</cp:lastPrinted>
  <dcterms:created xsi:type="dcterms:W3CDTF">2002-07-27T17:17:00Z</dcterms:created>
  <dcterms:modified xsi:type="dcterms:W3CDTF">2026-04-28T12:28:09Z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
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sports-field-booking-management\"/>
    </mc:Choice>
  </mc:AlternateContent>
  <xr:revisionPtr revIDLastSave="0" documentId="13_ncr:1_{E87223E6-2BF4-4C3E-BF43-8693D5468A09}" xr6:coauthVersionLast="47" xr6:coauthVersionMax="47" xr10:uidLastSave="{00000000-0000-0000-0000-000000000000}"/>
  <bookViews>
    <workbookView xWindow="-108" yWindow="-108" windowWidth="23256" windowHeight="12456" tabRatio="821" xr2:uid="{00000000-000D-0000-FFFF-FFFF00000000}"/>
  </bookViews>
  <sheets>
    <sheet name="Cover" sheetId="97" r:id="rId1"/>
    <sheet name="Samples" sheetId="122" r:id="rId2"/>
    <sheet name="Sheet1" sheetId="125" r:id="rId3"/>
    <sheet name="Booking" sheetId="124" r:id="rId4"/>
    <sheet name="Cancel Booking" sheetId="123" r:id="rId5"/>
    <sheet name="Test Report" sheetId="107" r:id="rId6"/>
  </sheets>
  <externalReferences>
    <externalReference r:id="rId7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</workbook>
</file>

<file path=xl/calcChain.xml><?xml version="1.0" encoding="utf-8"?>
<calcChain xmlns="http://schemas.openxmlformats.org/spreadsheetml/2006/main">
  <c r="E13" i="107" l="1"/>
  <c r="E12" i="107"/>
  <c r="G10" i="107"/>
  <c r="F10" i="107"/>
  <c r="E10" i="107"/>
  <c r="D10" i="107"/>
  <c r="G8" i="107"/>
  <c r="F8" i="107"/>
  <c r="E8" i="107"/>
  <c r="D8" i="107"/>
  <c r="C8" i="107"/>
  <c r="D7" i="123"/>
  <c r="B7" i="123"/>
  <c r="D6" i="123"/>
  <c r="B6" i="123"/>
  <c r="D7" i="122"/>
  <c r="B7" i="122"/>
  <c r="D6" i="122"/>
  <c r="B6" i="122"/>
</calcChain>
</file>

<file path=xl/sharedStrings.xml><?xml version="1.0" encoding="utf-8"?>
<sst xmlns="http://schemas.openxmlformats.org/spreadsheetml/2006/main" count="294" uniqueCount="177">
  <si>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</si>
  <si>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</si>
  <si>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</si>
  <si>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</si>
  <si>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</si>
  <si>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</si>
  <si>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</si>
  <si>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</si>
  <si>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</si>
  <si>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</si>
  <si>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</si>
  <si>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</si>
  <si>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</si>
  <si>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</si>
  <si>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</si>
  <si>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</si>
  <si>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Sample Project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</si>
  <si>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</si>
  <si>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</si>
  <si>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</si>
  <si>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</si>
  <si>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</si>
  <si>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</si>
  <si>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</si>
  <si>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</si>
  <si>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</si>
  <si>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</si>
  <si>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</si>
  <si>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</si>
  <si>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</si>
  <si>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</si>
  <si>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</si>
  <si>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</si>
  <si>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Check add role "CanExportAllCarrierChoises": This will be typically set for System users only</t>
  </si>
  <si>
    <t>TC1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</si>
  <si>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</si>
  <si>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</si>
  <si>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</si>
  <si>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</si>
  <si>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t>TC2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</si>
  <si>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</si>
  <si>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</si>
  <si>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</si>
  <si>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</si>
  <si>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TC3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</si>
  <si>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</si>
  <si>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</si>
  <si>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BOOKING</t>
  </si>
  <si>
    <t>QUẢN LÝ ĐẶT SÂN THỂ THAO</t>
  </si>
  <si>
    <t>CR100 - BOOKING</t>
  </si>
  <si>
    <t>1. Không cho phép đặt sân khi chưa đăng nhập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</si>
  <si>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</si>
  <si>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</si>
  <si>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</si>
  <si>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</si>
  <si>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</si>
  <si>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</si>
  <si>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</si>
  <si>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</si>
  <si>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</si>
  <si>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</si>
  <si>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</si>
  <si>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</si>
  <si>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</si>
  <si>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</si>
  <si>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</si>
  <si>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</si>
  <si>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</si>
  <si>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</si>
  <si>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</si>
  <si>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</si>
  <si>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</si>
  <si>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HỦY ĐẶT SÂN</t>
  </si>
  <si>
    <t>CR200 - CANCEL BOOKING</t>
  </si>
  <si>
    <t>1. Chỉ người đặt mới được hủy</t>
  </si>
  <si>
    <t>TC2-01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</si>
  <si>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</si>
  <si>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</si>
  <si>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</si>
  <si>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TC2-02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</si>
  <si>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</si>
  <si>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</si>
  <si>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</si>
  <si>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</si>
  <si>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TC2-03</t>
  </si>
  <si>
    <t>Booking #1 có giờ bắt đầu là 14:00 hôm nay. Thời gian hiện tại là 11:00: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</si>
  <si>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</si>
  <si>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TC2-04</t>
  </si>
  <si>
    <t>Hủy một sân 1 phút ngay trước hạn chót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</si>
  <si>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</si>
  <si>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TC2-05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</si>
  <si>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</si>
  <si>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</si>
  <si>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TC2-06</t>
  </si>
  <si>
    <t>Huỷ một sân đã quá 1 phút sau hạn chót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</si>
  <si>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</si>
  <si>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TC2-07</t>
  </si>
  <si>
    <t>Huỷ một sân đã qua hạn chót 1 giờ.</t>
  </si>
  <si>
    <t>Booking #1 có giờ bắt đầu là 14:00 hôm nay. Thời gian hiện tại là 13:00:
1: Truy cập vào trang và đăng nhập tài khoản thành công.
2: Chuyển sang tab "Sân đã đặt".
3: Nhấn "HỦY SÂN" ở booking #1.</t>
  </si>
  <si>
    <t>3. Không hủy khi đang chơi</t>
  </si>
  <si>
    <t>TC2-08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</si>
  <si>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</si>
  <si>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</si>
  <si>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</si>
  <si>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TC2-09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</si>
  <si>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</si>
  <si>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</si>
  <si>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</si>
  <si>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TC2-10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</si>
  <si>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</si>
  <si>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</si>
  <si>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</si>
  <si>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</si>
  <si>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</si>
  <si>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</si>
  <si>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</si>
  <si>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</si>
  <si>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</si>
  <si>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</si>
  <si>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</si>
  <si>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</si>
  <si>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 xml:space="preserve">6.khung h tối thiếu &lt;1 </t>
  </si>
  <si>
    <t>tc1 slot &lt; 1h</t>
  </si>
  <si>
    <t>tc2 slot &gt;= 1h</t>
  </si>
  <si>
    <t xml:space="preserve">5.dăt tối đa 3 sân </t>
  </si>
  <si>
    <t xml:space="preserve">tc1 đặt &gt;3 sân cùng ngày bị từ chối </t>
  </si>
  <si>
    <t>tc2 booking bị hủy không tính vào giới hạn 3 sân/ngày</t>
  </si>
  <si>
    <t xml:space="preserve">7.không trùng khung giờ </t>
  </si>
  <si>
    <t xml:space="preserve">tc1 . Đặt trùng khung h với người đặt cùng sân </t>
  </si>
  <si>
    <t>tc2 . Cùng slot nhưng sân khác , dc phép đặt</t>
  </si>
  <si>
    <t xml:space="preserve">tc3. user đặt cùng sân cùng slot cùng ngày mà họ đã đặt trước đó </t>
  </si>
  <si>
    <t xml:space="preserve">8.hiển thị và tích hợp </t>
  </si>
  <si>
    <t xml:space="preserve">tc1 Slot đã đặt hiển thị booked=true trong API : nếu khung h đã được đặt , khi gọi API PHẢI TRẢ VỀ booking= true </t>
  </si>
  <si>
    <t>tc2 Trang venue_detail hiển thị đầy đủ thông tin</t>
  </si>
  <si>
    <t>tc3 API trả đúng số booking trong ngày</t>
  </si>
  <si>
    <t>tc4 Booking lưu đúng start_time và end_time</t>
  </si>
  <si>
    <t xml:space="preserve">test API - dữ liệu </t>
  </si>
  <si>
    <t>2.  &lt; 2 giờ chơi</t>
  </si>
  <si>
    <t>tc1 : hủy &lt; 2 h</t>
  </si>
  <si>
    <t>tc2 : hủy còn đúng 2h</t>
  </si>
  <si>
    <t xml:space="preserve">tc3 : hủy khi dang sử dụng </t>
  </si>
  <si>
    <t xml:space="preserve">tc4 : hủy sau khi đã sử dụng xong </t>
  </si>
  <si>
    <t xml:space="preserve">4 . Các trương hợp khác </t>
  </si>
  <si>
    <t xml:space="preserve">tc1 . Sau khi hủy , slot đó hiển thị là trống lại </t>
  </si>
  <si>
    <t>tc2 . Booking bị xóa hoàn toàn (ko chuyển sang cancelled)</t>
  </si>
  <si>
    <t xml:space="preserve">tc3 , hủy khi chưa đăng nhập </t>
  </si>
  <si>
    <t xml:space="preserve">1. chỉ người đặt mới hủy </t>
  </si>
  <si>
    <t xml:space="preserve">tc1 :hủy booking ko tồn tại </t>
  </si>
  <si>
    <t xml:space="preserve">Huỷ một sân đúng ngay hạn chót .  </t>
  </si>
  <si>
    <t xml:space="preserve">sửa lại những cái tô vàng . Đặt lại tên testcsce cho đúng . Hạn chot là hạn gì . </t>
  </si>
  <si>
    <t xml:space="preserve">Huỷ một sân trước 3 giờ trước hạn chót </t>
  </si>
  <si>
    <t>Mỹ Xuyên</t>
  </si>
  <si>
    <t>Đại Long</t>
  </si>
  <si>
    <t>Thúy Quyên</t>
  </si>
  <si>
    <t>S</t>
  </si>
  <si>
    <t>CR300 - AUTH</t>
  </si>
  <si>
    <t>Sheet Booking</t>
  </si>
  <si>
    <t>Sheet Cancel Booking</t>
  </si>
  <si>
    <t>Update testcase</t>
  </si>
  <si>
    <t>Chia modeul để thiết kế testcase</t>
  </si>
  <si>
    <t>1. 0</t>
  </si>
  <si>
    <t xml:space="preserve">tạo sheet booking và bắt đầu thiết kế </t>
  </si>
  <si>
    <t>Create file</t>
  </si>
  <si>
    <t>CR100-Booking</t>
  </si>
  <si>
    <t>CR200-Cancel-Booking</t>
  </si>
  <si>
    <t>CR300-Auth</t>
  </si>
  <si>
    <t>Sheet Auth</t>
  </si>
  <si>
    <t>Sheet Admin</t>
  </si>
  <si>
    <t>tạo sheet Auth và bắt đầu thiết kế</t>
  </si>
  <si>
    <t>tạo sheet cancel-booking và bắt đầu thiết kế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</si>
  <si>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</si>
  <si>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</si>
  <si>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</si>
  <si>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</si>
  <si>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</si>
  <si>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</si>
  <si>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CR300-Auth, CR400-Admin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</si>
</sst>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d\-mmm\-yy;@"/>
    <numFmt numFmtId="165" formatCode="0.000"/>
  </numFmts>
  <fonts count="34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sz val="11"/>
      <name val="Tahoma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MS Gothic"/>
      <charset val="134"/>
    </font>
    <font>
      <b/>
      <sz val="10"/>
      <name val="ＭＳ Ｐゴシック"/>
      <charset val="128"/>
    </font>
    <font>
      <b/>
      <sz val="10"/>
      <color rgb="FF000000"/>
      <name val="Tahoma"/>
      <charset val="134"/>
    </font>
    <font>
      <sz val="11"/>
      <name val="ＭＳ Ｐゴシック"/>
      <charset val="128"/>
    </font>
    <font>
      <sz val="11"/>
      <color rgb="FFFF0000"/>
      <name val="ＭＳ Ｐゴシック"/>
    </font>
    <font>
      <b/>
      <sz val="19"/>
      <color indexed="9"/>
      <name val="Times New Roman"/>
      <family val="1"/>
    </font>
    <font>
      <sz val="19"/>
      <name val="Times New Roman"/>
      <family val="1"/>
    </font>
    <font>
      <sz val="21"/>
      <name val="Times New Roman"/>
      <family val="1"/>
    </font>
    <font>
      <b/>
      <sz val="19"/>
      <color indexed="60"/>
      <name val="Tahoma"/>
      <family val="2"/>
    </font>
    <font>
      <sz val="19"/>
      <name val="Tahoma"/>
      <family val="2"/>
    </font>
    <font>
      <b/>
      <sz val="19"/>
      <name val="Tahoma"/>
      <family val="2"/>
    </font>
    <font>
      <sz val="19"/>
      <name val="Arial"/>
      <family val="2"/>
    </font>
    <font>
      <sz val="19"/>
      <color theme="1"/>
      <name val="Calibri"/>
      <family val="2"/>
      <scheme val="minor"/>
    </font>
    <font>
      <b/>
      <sz val="19"/>
      <color indexed="60"/>
      <name val="Times New Roman"/>
      <family val="1"/>
    </font>
    <font>
      <sz val="8"/>
      <name val="ＭＳ Ｐゴシック"/>
      <charset val="128"/>
    </font>
  </fonts>
  <fills count="9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17" fillId="0" borderId="0"/>
    <xf numFmtId="0" fontId="22" fillId="0" borderId="0"/>
    <xf numFmtId="0" fontId="22" fillId="0" borderId="0" applyProtection="0"/>
    <xf numFmtId="0" fontId="18" fillId="0" borderId="0"/>
  </cellStyleXfs>
  <cellXfs count="164">
    <xf numFmtId="0" fontId="0" fillId="0" borderId="0" xfId="0"/>
    <xf numFmtId="0" fontId="0" fillId="0" borderId="0" xfId="0" applyAlignment="1">
      <alignment wrapText="1"/>
    </xf>
    <xf numFmtId="0" fontId="1" fillId="0" borderId="0" xfId="2" applyFont="1"/>
    <xf numFmtId="0" fontId="2" fillId="0" borderId="0" xfId="2" applyFont="1"/>
    <xf numFmtId="0" fontId="3" fillId="0" borderId="0" xfId="2" applyFont="1"/>
    <xf numFmtId="164" fontId="3" fillId="0" borderId="0" xfId="2" applyNumberFormat="1" applyFont="1"/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5" xfId="0" applyFont="1" applyBorder="1"/>
    <xf numFmtId="0" fontId="5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2" fillId="3" borderId="0" xfId="3" applyFont="1" applyFill="1"/>
    <xf numFmtId="0" fontId="9" fillId="3" borderId="0" xfId="0" applyFont="1" applyFill="1" applyAlignment="1">
      <alignment wrapText="1"/>
    </xf>
    <xf numFmtId="0" fontId="8" fillId="3" borderId="0" xfId="0" applyFont="1" applyFill="1" applyAlignment="1">
      <alignment wrapText="1"/>
    </xf>
    <xf numFmtId="0" fontId="9" fillId="3" borderId="0" xfId="0" applyFont="1" applyFill="1"/>
    <xf numFmtId="0" fontId="2" fillId="3" borderId="11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wrapText="1"/>
    </xf>
    <xf numFmtId="0" fontId="8" fillId="3" borderId="0" xfId="0" applyFont="1" applyFill="1" applyAlignment="1">
      <alignment horizontal="center" wrapText="1"/>
    </xf>
    <xf numFmtId="0" fontId="2" fillId="3" borderId="14" xfId="3" applyFont="1" applyFill="1" applyBorder="1" applyAlignment="1">
      <alignment horizontal="left" vertical="center" wrapText="1"/>
    </xf>
    <xf numFmtId="0" fontId="2" fillId="3" borderId="14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11" fillId="6" borderId="16" xfId="3" applyFont="1" applyFill="1" applyBorder="1" applyAlignment="1">
      <alignment horizontal="left" vertical="center" wrapText="1"/>
    </xf>
    <xf numFmtId="0" fontId="11" fillId="6" borderId="32" xfId="3" applyFont="1" applyFill="1" applyBorder="1" applyAlignment="1">
      <alignment horizontal="left" vertical="center" wrapText="1"/>
    </xf>
    <xf numFmtId="165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3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2" fillId="0" borderId="15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1" fillId="6" borderId="24" xfId="3" applyFont="1" applyFill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top" wrapText="1"/>
    </xf>
    <xf numFmtId="0" fontId="8" fillId="0" borderId="29" xfId="0" applyFont="1" applyBorder="1" applyAlignment="1">
      <alignment horizontal="left" vertical="top" wrapText="1"/>
    </xf>
    <xf numFmtId="165" fontId="8" fillId="0" borderId="28" xfId="0" applyNumberFormat="1" applyFont="1" applyBorder="1" applyAlignment="1">
      <alignment horizontal="left" vertical="top" wrapText="1"/>
    </xf>
    <xf numFmtId="0" fontId="3" fillId="0" borderId="32" xfId="0" applyFont="1" applyBorder="1" applyAlignment="1">
      <alignment vertical="top" wrapText="1"/>
    </xf>
    <xf numFmtId="0" fontId="3" fillId="0" borderId="32" xfId="0" applyFont="1" applyBorder="1" applyAlignment="1">
      <alignment horizontal="left" vertical="top" wrapText="1"/>
    </xf>
    <xf numFmtId="0" fontId="3" fillId="0" borderId="18" xfId="0" applyFont="1" applyBorder="1" applyAlignment="1">
      <alignment horizontal="left" vertical="top" wrapText="1"/>
    </xf>
    <xf numFmtId="165" fontId="8" fillId="0" borderId="15" xfId="0" applyNumberFormat="1" applyFont="1" applyBorder="1" applyAlignment="1">
      <alignment horizontal="left" vertical="top" wrapText="1"/>
    </xf>
    <xf numFmtId="0" fontId="13" fillId="3" borderId="0" xfId="0" applyFont="1" applyFill="1" applyAlignment="1">
      <alignment wrapText="1"/>
    </xf>
    <xf numFmtId="0" fontId="13" fillId="3" borderId="10" xfId="0" applyFont="1" applyFill="1" applyBorder="1" applyAlignment="1">
      <alignment wrapText="1"/>
    </xf>
    <xf numFmtId="0" fontId="2" fillId="3" borderId="11" xfId="3" applyFont="1" applyFill="1" applyBorder="1" applyAlignment="1">
      <alignment horizontal="left" wrapText="1"/>
    </xf>
    <xf numFmtId="0" fontId="13" fillId="0" borderId="18" xfId="3" applyFont="1" applyBorder="1" applyAlignment="1">
      <alignment horizontal="left" vertical="top" wrapText="1"/>
    </xf>
    <xf numFmtId="0" fontId="11" fillId="0" borderId="18" xfId="3" applyFont="1" applyBorder="1" applyAlignment="1">
      <alignment horizontal="left" vertical="center" wrapText="1"/>
    </xf>
    <xf numFmtId="0" fontId="8" fillId="0" borderId="18" xfId="3" applyFont="1" applyBorder="1" applyAlignment="1">
      <alignment horizontal="left" vertic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4" fillId="0" borderId="0" xfId="0" applyFont="1"/>
    <xf numFmtId="0" fontId="15" fillId="0" borderId="0" xfId="0" applyFont="1"/>
    <xf numFmtId="0" fontId="9" fillId="0" borderId="0" xfId="0" applyFont="1" applyAlignment="1">
      <alignment vertical="top"/>
    </xf>
    <xf numFmtId="0" fontId="8" fillId="3" borderId="0" xfId="0" applyFont="1" applyFill="1"/>
    <xf numFmtId="0" fontId="8" fillId="3" borderId="0" xfId="0" applyFont="1" applyFill="1" applyAlignment="1">
      <alignment vertical="center" wrapText="1"/>
    </xf>
    <xf numFmtId="0" fontId="14" fillId="3" borderId="0" xfId="0" applyFont="1" applyFill="1"/>
    <xf numFmtId="0" fontId="8" fillId="0" borderId="29" xfId="0" applyFont="1" applyBorder="1" applyAlignment="1">
      <alignment horizontal="center" vertical="top" wrapText="1"/>
    </xf>
    <xf numFmtId="0" fontId="8" fillId="0" borderId="18" xfId="0" applyFont="1" applyBorder="1" applyAlignment="1">
      <alignment horizontal="center" vertical="top" wrapText="1"/>
    </xf>
    <xf numFmtId="0" fontId="1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/>
    <xf numFmtId="165" fontId="8" fillId="8" borderId="28" xfId="0" applyNumberFormat="1" applyFont="1" applyFill="1" applyBorder="1" applyAlignment="1">
      <alignment horizontal="left" vertical="top" wrapText="1"/>
    </xf>
    <xf numFmtId="0" fontId="0" fillId="8" borderId="0" xfId="0" applyFill="1"/>
    <xf numFmtId="165" fontId="8" fillId="8" borderId="0" xfId="0" applyNumberFormat="1" applyFont="1" applyFill="1" applyAlignment="1">
      <alignment horizontal="left" vertical="top" wrapText="1"/>
    </xf>
    <xf numFmtId="165" fontId="8" fillId="8" borderId="26" xfId="0" applyNumberFormat="1" applyFont="1" applyFill="1" applyBorder="1" applyAlignment="1">
      <alignment horizontal="left" vertical="top" wrapText="1"/>
    </xf>
    <xf numFmtId="0" fontId="8" fillId="8" borderId="18" xfId="0" applyFont="1" applyFill="1" applyBorder="1" applyAlignment="1">
      <alignment horizontal="left" vertical="top" wrapText="1"/>
    </xf>
    <xf numFmtId="0" fontId="8" fillId="8" borderId="29" xfId="0" applyFont="1" applyFill="1" applyBorder="1" applyAlignment="1">
      <alignment horizontal="left" vertical="top" wrapText="1"/>
    </xf>
    <xf numFmtId="0" fontId="3" fillId="8" borderId="18" xfId="0" applyFont="1" applyFill="1" applyBorder="1" applyAlignment="1">
      <alignment vertical="top" wrapText="1"/>
    </xf>
    <xf numFmtId="0" fontId="23" fillId="0" borderId="0" xfId="0" applyFont="1"/>
    <xf numFmtId="0" fontId="8" fillId="3" borderId="0" xfId="0" applyFont="1" applyFill="1" applyAlignment="1">
      <alignment horizontal="center" wrapText="1"/>
    </xf>
    <xf numFmtId="0" fontId="3" fillId="3" borderId="15" xfId="3" applyFont="1" applyFill="1" applyBorder="1" applyAlignment="1">
      <alignment horizontal="left" vertical="top" wrapText="1"/>
    </xf>
    <xf numFmtId="0" fontId="3" fillId="3" borderId="16" xfId="3" applyFont="1" applyFill="1" applyBorder="1" applyAlignment="1">
      <alignment horizontal="left" vertical="top" wrapText="1"/>
    </xf>
    <xf numFmtId="0" fontId="3" fillId="3" borderId="17" xfId="3" applyFont="1" applyFill="1" applyBorder="1" applyAlignment="1">
      <alignment horizontal="left" vertical="top" wrapText="1"/>
    </xf>
    <xf numFmtId="0" fontId="3" fillId="3" borderId="15" xfId="3" applyFont="1" applyFill="1" applyBorder="1" applyAlignment="1">
      <alignment horizontal="left" vertical="center" wrapText="1"/>
    </xf>
    <xf numFmtId="0" fontId="3" fillId="3" borderId="16" xfId="3" applyFont="1" applyFill="1" applyBorder="1" applyAlignment="1">
      <alignment horizontal="left" vertical="center" wrapText="1"/>
    </xf>
    <xf numFmtId="0" fontId="3" fillId="3" borderId="17" xfId="3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11" fillId="0" borderId="15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left" vertical="top" wrapText="1"/>
    </xf>
    <xf numFmtId="0" fontId="8" fillId="3" borderId="23" xfId="0" applyFont="1" applyFill="1" applyBorder="1" applyAlignment="1">
      <alignment horizontal="center"/>
    </xf>
    <xf numFmtId="0" fontId="10" fillId="5" borderId="16" xfId="0" applyFont="1" applyFill="1" applyBorder="1" applyAlignment="1">
      <alignment horizontal="left" vertical="center"/>
    </xf>
    <xf numFmtId="0" fontId="10" fillId="5" borderId="32" xfId="0" applyFont="1" applyFill="1" applyBorder="1" applyAlignment="1">
      <alignment horizontal="left" vertical="center"/>
    </xf>
    <xf numFmtId="0" fontId="11" fillId="6" borderId="15" xfId="3" applyFont="1" applyFill="1" applyBorder="1" applyAlignment="1">
      <alignment horizontal="left" vertical="center" wrapText="1"/>
    </xf>
    <xf numFmtId="0" fontId="11" fillId="6" borderId="16" xfId="3" applyFont="1" applyFill="1" applyBorder="1" applyAlignment="1">
      <alignment horizontal="left" vertical="center" wrapText="1"/>
    </xf>
    <xf numFmtId="0" fontId="11" fillId="6" borderId="32" xfId="3" applyFont="1" applyFill="1" applyBorder="1" applyAlignment="1">
      <alignment horizontal="left" vertical="center" wrapText="1"/>
    </xf>
    <xf numFmtId="0" fontId="4" fillId="4" borderId="25" xfId="3" applyFont="1" applyFill="1" applyBorder="1" applyAlignment="1">
      <alignment horizontal="center" vertical="center" wrapText="1"/>
    </xf>
    <xf numFmtId="0" fontId="4" fillId="4" borderId="18" xfId="3" applyFont="1" applyFill="1" applyBorder="1" applyAlignment="1">
      <alignment horizontal="center" vertical="center" wrapText="1"/>
    </xf>
    <xf numFmtId="0" fontId="4" fillId="4" borderId="25" xfId="3" applyFont="1" applyFill="1" applyBorder="1" applyAlignment="1">
      <alignment vertical="center" wrapText="1"/>
    </xf>
    <xf numFmtId="0" fontId="4" fillId="4" borderId="18" xfId="3" applyFont="1" applyFill="1" applyBorder="1" applyAlignment="1">
      <alignment vertical="center" wrapText="1"/>
    </xf>
    <xf numFmtId="0" fontId="4" fillId="4" borderId="28" xfId="3" applyFont="1" applyFill="1" applyBorder="1" applyAlignment="1">
      <alignment horizontal="center" vertical="center" wrapText="1"/>
    </xf>
    <xf numFmtId="0" fontId="4" fillId="4" borderId="29" xfId="3" applyFont="1" applyFill="1" applyBorder="1" applyAlignment="1">
      <alignment horizontal="center" vertical="center" wrapText="1"/>
    </xf>
    <xf numFmtId="0" fontId="4" fillId="4" borderId="26" xfId="3" applyFont="1" applyFill="1" applyBorder="1" applyAlignment="1">
      <alignment horizontal="center" vertical="center" wrapText="1"/>
    </xf>
    <xf numFmtId="0" fontId="4" fillId="4" borderId="0" xfId="3" applyFont="1" applyFill="1" applyAlignment="1">
      <alignment horizontal="center" vertical="center" wrapText="1"/>
    </xf>
    <xf numFmtId="0" fontId="4" fillId="4" borderId="27" xfId="3" applyFont="1" applyFill="1" applyBorder="1" applyAlignment="1">
      <alignment horizontal="center" vertical="center" wrapText="1"/>
    </xf>
    <xf numFmtId="0" fontId="4" fillId="4" borderId="30" xfId="3" applyFont="1" applyFill="1" applyBorder="1" applyAlignment="1">
      <alignment horizontal="center" vertical="center" wrapText="1"/>
    </xf>
    <xf numFmtId="0" fontId="4" fillId="4" borderId="24" xfId="3" applyFont="1" applyFill="1" applyBorder="1" applyAlignment="1">
      <alignment horizontal="center" vertical="center" wrapText="1"/>
    </xf>
    <xf numFmtId="0" fontId="4" fillId="4" borderId="31" xfId="3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8" fillId="0" borderId="1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1" fillId="6" borderId="15" xfId="3" applyFont="1" applyFill="1" applyBorder="1" applyAlignment="1">
      <alignment horizontal="center" vertical="center" wrapText="1"/>
    </xf>
    <xf numFmtId="0" fontId="11" fillId="6" borderId="16" xfId="3" applyFont="1" applyFill="1" applyBorder="1" applyAlignment="1">
      <alignment horizontal="center" vertical="center" wrapText="1"/>
    </xf>
    <xf numFmtId="0" fontId="3" fillId="3" borderId="12" xfId="3" applyFont="1" applyFill="1" applyBorder="1" applyAlignment="1">
      <alignment horizontal="left" wrapText="1"/>
    </xf>
    <xf numFmtId="0" fontId="3" fillId="3" borderId="13" xfId="3" applyFont="1" applyFill="1" applyBorder="1" applyAlignment="1">
      <alignment horizontal="left" wrapText="1"/>
    </xf>
    <xf numFmtId="0" fontId="8" fillId="0" borderId="32" xfId="0" applyFont="1" applyBorder="1" applyAlignment="1">
      <alignment horizontal="left" vertical="top" wrapText="1"/>
    </xf>
    <xf numFmtId="0" fontId="13" fillId="0" borderId="15" xfId="0" applyFont="1" applyBorder="1" applyAlignment="1">
      <alignment horizontal="left" vertical="top" wrapText="1"/>
    </xf>
    <xf numFmtId="0" fontId="13" fillId="0" borderId="15" xfId="3" applyFont="1" applyBorder="1" applyAlignment="1">
      <alignment horizontal="left" vertical="top" wrapText="1"/>
    </xf>
    <xf numFmtId="0" fontId="11" fillId="0" borderId="16" xfId="3" applyFont="1" applyBorder="1" applyAlignment="1">
      <alignment horizontal="left" vertical="top" wrapText="1"/>
    </xf>
    <xf numFmtId="0" fontId="11" fillId="0" borderId="32" xfId="3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top" wrapText="1"/>
    </xf>
    <xf numFmtId="0" fontId="13" fillId="0" borderId="32" xfId="0" applyFont="1" applyBorder="1" applyAlignment="1">
      <alignment horizontal="left" vertical="top" wrapText="1"/>
    </xf>
    <xf numFmtId="0" fontId="8" fillId="0" borderId="33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164" fontId="24" fillId="2" borderId="2" xfId="0" applyNumberFormat="1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/>
    </xf>
    <xf numFmtId="14" fontId="26" fillId="7" borderId="36" xfId="1" applyNumberFormat="1" applyFont="1" applyFill="1" applyBorder="1" applyAlignment="1">
      <alignment horizontal="center" vertical="center" wrapText="1"/>
    </xf>
    <xf numFmtId="0" fontId="26" fillId="7" borderId="36" xfId="1" applyFont="1" applyFill="1" applyBorder="1" applyAlignment="1">
      <alignment horizontal="center" vertical="center" wrapText="1"/>
    </xf>
    <xf numFmtId="0" fontId="26" fillId="7" borderId="36" xfId="0" applyFont="1" applyFill="1" applyBorder="1" applyAlignment="1">
      <alignment horizontal="center" vertical="center" wrapText="1"/>
    </xf>
    <xf numFmtId="0" fontId="26" fillId="7" borderId="38" xfId="1" applyFont="1" applyFill="1" applyBorder="1" applyAlignment="1">
      <alignment horizontal="center" vertical="center" wrapText="1"/>
    </xf>
    <xf numFmtId="0" fontId="26" fillId="7" borderId="38" xfId="0" applyFon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7" fillId="3" borderId="0" xfId="0" applyFont="1" applyFill="1"/>
    <xf numFmtId="0" fontId="28" fillId="0" borderId="0" xfId="0" applyFont="1"/>
    <xf numFmtId="0" fontId="28" fillId="3" borderId="0" xfId="0" applyFont="1" applyFill="1"/>
    <xf numFmtId="0" fontId="29" fillId="3" borderId="0" xfId="0" applyFont="1" applyFill="1"/>
    <xf numFmtId="0" fontId="30" fillId="0" borderId="0" xfId="1" applyFont="1"/>
    <xf numFmtId="0" fontId="31" fillId="0" borderId="0" xfId="1" applyFont="1"/>
    <xf numFmtId="0" fontId="30" fillId="0" borderId="36" xfId="1" applyFont="1" applyBorder="1"/>
    <xf numFmtId="0" fontId="32" fillId="0" borderId="0" xfId="0" applyFont="1"/>
    <xf numFmtId="0" fontId="25" fillId="0" borderId="0" xfId="0" applyFont="1"/>
    <xf numFmtId="0" fontId="28" fillId="0" borderId="0" xfId="0" applyFont="1" applyAlignment="1">
      <alignment vertical="center"/>
    </xf>
  </cellXfs>
  <cellStyles count="5">
    <cellStyle name="Normal" xfId="0" builtinId="0"/>
    <cellStyle name="Normal 2" xfId="1" xr:uid="{00000000-0005-0000-0000-000031000000}"/>
    <cellStyle name="Normal_Functional Test Case v1.0" xfId="2" xr:uid="{00000000-0005-0000-0000-000032000000}"/>
    <cellStyle name="Normal_Sheet1_Vanco_CR022a1_TestCase_v0.1" xfId="3" xr:uid="{00000000-0005-0000-0000-000033000000}"/>
    <cellStyle name="標準_結合試験(AllOvertheWorld)" xfId="4" xr:uid="{00000000-0005-0000-0000-000034000000}"/>
  </cellStyles>
  <dxfs count="0"/>
  <tableStyles count="1" defaultTableStyle="TableStyleMedium9" defaultPivotStyle="PivotStyleLight16">
    <tableStyle name="Table Style 1" pivot="0" count="0" xr9:uid="{F7E00C52-7677-4CF7-8502-45BEFC62BBA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tabSelected="1" topLeftCell="A7" zoomScale="40" zoomScaleNormal="58" workbookViewId="0">
      <selection activeCell="D17" sqref="D17"/>
    </sheetView>
  </sheetViews>
  <sheetFormatPr defaultColWidth="9" defaultRowHeight="13.8"/>
  <cols>
    <col min="1" max="1" width="9" style="88"/>
    <col min="2" max="2" width="29.77734375" style="88" customWidth="1"/>
    <col min="3" max="3" width="23.109375" style="88" customWidth="1"/>
    <col min="4" max="4" width="66.77734375" style="88" customWidth="1"/>
    <col min="5" max="5" width="141.33203125" style="88" customWidth="1"/>
    <col min="6" max="7" width="31.109375" style="88" customWidth="1"/>
    <col min="8" max="8" width="174.5546875" style="88" customWidth="1"/>
    <col min="9" max="16384" width="9" style="88"/>
  </cols>
  <sheetData>
    <row r="1" spans="1:9" s="155" customFormat="1" ht="24"/>
    <row r="2" spans="1:9" s="155" customFormat="1" ht="24">
      <c r="A2" s="156"/>
      <c r="B2" s="157" t="s">
        <v>0</v>
      </c>
      <c r="C2" s="156"/>
      <c r="D2" s="156"/>
      <c r="E2" s="156"/>
      <c r="F2" s="156"/>
      <c r="G2" s="156"/>
    </row>
    <row r="3" spans="1:9" s="155" customFormat="1" ht="25.2">
      <c r="A3" s="156"/>
      <c r="B3" s="154" t="s">
        <v>1</v>
      </c>
      <c r="C3" s="158">
        <v>1.2</v>
      </c>
      <c r="D3" s="159"/>
      <c r="E3" s="159"/>
      <c r="F3" s="159"/>
      <c r="G3" s="159"/>
      <c r="H3" s="159"/>
      <c r="I3" s="159"/>
    </row>
    <row r="4" spans="1:9" s="155" customFormat="1" ht="25.2">
      <c r="A4" s="156"/>
      <c r="B4" s="154" t="s">
        <v>2</v>
      </c>
      <c r="C4" s="158" t="s">
        <v>3</v>
      </c>
      <c r="D4" s="159"/>
      <c r="E4" s="159"/>
      <c r="F4" s="159"/>
      <c r="G4" s="159"/>
      <c r="H4" s="159"/>
      <c r="I4" s="159"/>
    </row>
    <row r="5" spans="1:9" s="155" customFormat="1" ht="25.2">
      <c r="A5" s="156"/>
      <c r="B5" s="154"/>
      <c r="C5" s="159"/>
      <c r="D5" s="159"/>
      <c r="E5" s="159"/>
      <c r="F5" s="159"/>
      <c r="G5" s="159"/>
      <c r="H5" s="159"/>
      <c r="I5" s="159"/>
    </row>
    <row r="6" spans="1:9" s="155" customFormat="1" ht="47.4" customHeight="1">
      <c r="A6" s="156"/>
      <c r="B6" s="154" t="s">
        <v>4</v>
      </c>
      <c r="C6" s="160" t="s">
        <v>5</v>
      </c>
      <c r="D6" s="159"/>
      <c r="E6" s="159"/>
      <c r="F6" s="159"/>
      <c r="G6" s="159"/>
      <c r="H6" s="159"/>
      <c r="I6" s="159"/>
    </row>
    <row r="7" spans="1:9" s="155" customFormat="1" ht="27" customHeight="1">
      <c r="A7" s="156"/>
      <c r="B7" s="154" t="s">
        <v>6</v>
      </c>
      <c r="C7" s="160" t="s">
        <v>7</v>
      </c>
      <c r="D7" s="159"/>
      <c r="E7" s="159"/>
      <c r="F7" s="159"/>
      <c r="G7" s="159"/>
      <c r="H7" s="159"/>
      <c r="I7" s="159"/>
    </row>
    <row r="8" spans="1:9" s="155" customFormat="1" ht="24">
      <c r="A8" s="156"/>
      <c r="B8" s="154"/>
      <c r="C8" s="156"/>
      <c r="D8" s="156"/>
      <c r="E8" s="156"/>
      <c r="F8" s="156"/>
      <c r="G8" s="156"/>
    </row>
    <row r="9" spans="1:9" s="155" customFormat="1" ht="24">
      <c r="A9" s="156"/>
      <c r="F9" s="156"/>
      <c r="G9" s="156"/>
    </row>
    <row r="10" spans="1:9" s="155" customFormat="1" ht="24.6">
      <c r="B10" s="161" t="s">
        <v>8</v>
      </c>
      <c r="C10" s="162"/>
      <c r="D10" s="162"/>
      <c r="E10" s="162"/>
      <c r="F10" s="162"/>
      <c r="G10" s="162"/>
      <c r="H10" s="162"/>
    </row>
    <row r="11" spans="1:9" s="163" customFormat="1" ht="63.6" customHeight="1">
      <c r="B11" s="144"/>
      <c r="C11" s="145" t="s">
        <v>9</v>
      </c>
      <c r="D11" s="145" t="s">
        <v>10</v>
      </c>
      <c r="E11" s="145" t="s">
        <v>11</v>
      </c>
      <c r="F11" s="145" t="s">
        <v>12</v>
      </c>
      <c r="G11" s="146" t="s">
        <v>13</v>
      </c>
      <c r="H11" s="147" t="s">
        <v>14</v>
      </c>
    </row>
    <row r="12" spans="1:9" s="86" customFormat="1" ht="49.95" customHeight="1">
      <c r="B12" s="148">
        <v>46268</v>
      </c>
      <c r="C12" s="149" t="s">
        <v>160</v>
      </c>
      <c r="D12" s="149" t="s">
        <v>158</v>
      </c>
      <c r="E12" s="149" t="s">
        <v>159</v>
      </c>
      <c r="F12" s="149" t="s">
        <v>151</v>
      </c>
      <c r="G12" s="149" t="s">
        <v>151</v>
      </c>
      <c r="H12" s="150" t="s">
        <v>162</v>
      </c>
    </row>
    <row r="13" spans="1:9" s="86" customFormat="1" ht="49.95" customHeight="1">
      <c r="B13" s="148">
        <v>46116</v>
      </c>
      <c r="C13" s="149">
        <v>1.1000000000000001</v>
      </c>
      <c r="D13" s="149" t="s">
        <v>156</v>
      </c>
      <c r="E13" s="149" t="s">
        <v>161</v>
      </c>
      <c r="F13" s="149" t="s">
        <v>153</v>
      </c>
      <c r="G13" s="149" t="s">
        <v>151</v>
      </c>
      <c r="H13" s="150" t="s">
        <v>163</v>
      </c>
    </row>
    <row r="14" spans="1:9" s="86" customFormat="1" ht="49.95" customHeight="1">
      <c r="B14" s="148">
        <v>46116</v>
      </c>
      <c r="C14" s="149">
        <v>1.1000000000000001</v>
      </c>
      <c r="D14" s="149" t="s">
        <v>157</v>
      </c>
      <c r="E14" s="149" t="s">
        <v>169</v>
      </c>
      <c r="F14" s="149" t="s">
        <v>152</v>
      </c>
      <c r="G14" s="149" t="s">
        <v>151</v>
      </c>
      <c r="H14" s="150" t="s">
        <v>164</v>
      </c>
    </row>
    <row r="15" spans="1:9" s="86" customFormat="1" ht="49.95" customHeight="1">
      <c r="B15" s="148">
        <v>46116</v>
      </c>
      <c r="C15" s="149">
        <v>1.1000000000000001</v>
      </c>
      <c r="D15" s="149" t="s">
        <v>166</v>
      </c>
      <c r="E15" s="149" t="s">
        <v>168</v>
      </c>
      <c r="F15" s="149" t="s">
        <v>151</v>
      </c>
      <c r="G15" s="149" t="s">
        <v>151</v>
      </c>
      <c r="H15" s="150" t="s">
        <v>165</v>
      </c>
    </row>
    <row r="16" spans="1:9" s="86" customFormat="1" ht="49.95" customHeight="1">
      <c r="B16" s="148">
        <v>46116</v>
      </c>
      <c r="C16" s="149">
        <v>1.1000000000000001</v>
      </c>
      <c r="D16" s="149" t="s">
        <v>167</v>
      </c>
      <c r="E16" s="149" t="s">
        <v>170</v>
      </c>
      <c r="F16" s="149" t="s">
        <v>151</v>
      </c>
      <c r="G16" s="149" t="s">
        <v>151</v>
      </c>
      <c r="H16" s="150" t="s">
        <v>171</v>
      </c>
    </row>
    <row r="17" spans="2:8" s="87" customFormat="1" ht="49.95" customHeight="1">
      <c r="B17" s="148">
        <v>46330</v>
      </c>
      <c r="C17" s="149">
        <v>1.2</v>
      </c>
      <c r="D17" s="149" t="s">
        <v>156</v>
      </c>
      <c r="E17" s="149" t="s">
        <v>172</v>
      </c>
      <c r="F17" s="149" t="s">
        <v>153</v>
      </c>
      <c r="G17" s="149" t="s">
        <v>151</v>
      </c>
      <c r="H17" s="150" t="s">
        <v>163</v>
      </c>
    </row>
    <row r="18" spans="2:8" s="87" customFormat="1" ht="49.95" customHeight="1">
      <c r="B18" s="148">
        <v>46330</v>
      </c>
      <c r="C18" s="149">
        <v>1.2</v>
      </c>
      <c r="D18" s="149" t="s">
        <v>157</v>
      </c>
      <c r="E18" s="149" t="s">
        <v>173</v>
      </c>
      <c r="F18" s="149" t="s">
        <v>152</v>
      </c>
      <c r="G18" s="149" t="s">
        <v>151</v>
      </c>
      <c r="H18" s="150" t="s">
        <v>164</v>
      </c>
    </row>
    <row r="19" spans="2:8" s="86" customFormat="1" ht="49.95" customHeight="1">
      <c r="B19" s="149" t="s">
        <v>174</v>
      </c>
      <c r="C19" s="149">
        <v>1.2</v>
      </c>
      <c r="D19" s="149" t="s">
        <v>175</v>
      </c>
      <c r="E19" s="149"/>
      <c r="F19" s="149" t="s">
        <v>151</v>
      </c>
      <c r="G19" s="149"/>
      <c r="H19" s="150" t="s">
        <v>176</v>
      </c>
    </row>
    <row r="20" spans="2:8" s="86" customFormat="1" ht="49.95" customHeight="1">
      <c r="B20" s="149"/>
      <c r="C20" s="149"/>
      <c r="D20" s="149"/>
      <c r="E20" s="149"/>
      <c r="F20" s="149"/>
      <c r="G20" s="149"/>
      <c r="H20" s="150"/>
    </row>
    <row r="21" spans="2:8" s="86" customFormat="1" ht="49.95" customHeight="1">
      <c r="B21" s="149"/>
      <c r="C21" s="149"/>
      <c r="D21" s="149"/>
      <c r="E21" s="149"/>
      <c r="F21" s="149"/>
      <c r="G21" s="149"/>
      <c r="H21" s="150"/>
    </row>
    <row r="22" spans="2:8" s="86" customFormat="1" ht="49.95" customHeight="1">
      <c r="B22" s="149"/>
      <c r="C22" s="149"/>
      <c r="D22" s="149"/>
      <c r="E22" s="149"/>
      <c r="F22" s="149"/>
      <c r="G22" s="149"/>
      <c r="H22" s="150"/>
    </row>
    <row r="23" spans="2:8" s="86" customFormat="1" ht="49.95" customHeight="1">
      <c r="B23" s="149"/>
      <c r="C23" s="149"/>
      <c r="D23" s="149"/>
      <c r="E23" s="149"/>
      <c r="F23" s="149"/>
      <c r="G23" s="149"/>
      <c r="H23" s="150"/>
    </row>
    <row r="24" spans="2:8" s="86" customFormat="1" ht="49.95" customHeight="1">
      <c r="B24" s="149"/>
      <c r="C24" s="149"/>
      <c r="D24" s="149"/>
      <c r="E24" s="149"/>
      <c r="F24" s="149"/>
      <c r="G24" s="149"/>
      <c r="H24" s="150"/>
    </row>
    <row r="25" spans="2:8" s="86" customFormat="1" ht="49.95" customHeight="1">
      <c r="B25" s="149"/>
      <c r="C25" s="149"/>
      <c r="D25" s="149"/>
      <c r="E25" s="149"/>
      <c r="F25" s="149"/>
      <c r="G25" s="149"/>
      <c r="H25" s="150"/>
    </row>
    <row r="26" spans="2:8" s="86" customFormat="1" ht="49.95" customHeight="1">
      <c r="B26" s="149"/>
      <c r="C26" s="149"/>
      <c r="D26" s="149"/>
      <c r="E26" s="149"/>
      <c r="F26" s="149"/>
      <c r="G26" s="149"/>
      <c r="H26" s="150"/>
    </row>
    <row r="27" spans="2:8" ht="49.95" customHeight="1">
      <c r="B27" s="149"/>
      <c r="C27" s="149"/>
      <c r="D27" s="149"/>
      <c r="E27" s="149"/>
      <c r="F27" s="149"/>
      <c r="G27" s="149"/>
      <c r="H27" s="150"/>
    </row>
    <row r="28" spans="2:8" ht="49.95" customHeight="1">
      <c r="B28" s="149"/>
      <c r="C28" s="149"/>
      <c r="D28" s="149"/>
      <c r="E28" s="149"/>
      <c r="F28" s="149"/>
      <c r="G28" s="149"/>
      <c r="H28" s="150"/>
    </row>
    <row r="29" spans="2:8" ht="49.95" customHeight="1">
      <c r="B29" s="151"/>
      <c r="C29" s="151"/>
      <c r="D29" s="151"/>
      <c r="E29" s="151"/>
      <c r="F29" s="151"/>
      <c r="G29" s="151"/>
      <c r="H29" s="152"/>
    </row>
    <row r="30" spans="2:8" ht="44.4" customHeight="1">
      <c r="B30" s="153"/>
      <c r="C30" s="153"/>
      <c r="D30" s="153"/>
      <c r="E30" s="153"/>
      <c r="F30" s="153"/>
      <c r="G30" s="153"/>
      <c r="H30" s="153"/>
    </row>
    <row r="31" spans="2:8" ht="39" customHeight="1">
      <c r="B31" s="153"/>
      <c r="C31" s="153"/>
      <c r="D31" s="153"/>
      <c r="E31" s="153"/>
      <c r="F31" s="153"/>
      <c r="G31" s="153"/>
      <c r="H31" s="153"/>
    </row>
  </sheetData>
  <phoneticPr fontId="33" type="noConversion"/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5"/>
  <sheetViews>
    <sheetView zoomScale="72" workbookViewId="0">
      <selection activeCell="A19"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style="6"/>
    <col min="11" max="11" width="18" customWidth="1"/>
  </cols>
  <sheetData>
    <row r="1" spans="1:12" s="75" customFormat="1" ht="12.75" customHeight="1">
      <c r="A1" s="30" t="s">
        <v>0</v>
      </c>
      <c r="B1" s="125"/>
      <c r="C1" s="125"/>
      <c r="D1" s="125"/>
      <c r="E1" s="31"/>
      <c r="F1" s="31"/>
      <c r="G1" s="31"/>
      <c r="H1" s="31"/>
      <c r="I1" s="31"/>
      <c r="J1" s="32"/>
      <c r="K1" s="31"/>
      <c r="L1" s="33"/>
    </row>
    <row r="2" spans="1:12" s="75" customFormat="1" ht="11.25" customHeight="1">
      <c r="A2" s="33"/>
      <c r="B2" s="126"/>
      <c r="C2" s="126"/>
      <c r="D2" s="126"/>
      <c r="E2" s="31"/>
      <c r="F2" s="31"/>
      <c r="G2" s="31"/>
      <c r="H2" s="31"/>
      <c r="I2" s="31"/>
      <c r="J2" s="32"/>
      <c r="K2" s="31"/>
      <c r="L2" s="33"/>
    </row>
    <row r="3" spans="1:12" s="76" customFormat="1" ht="15" customHeight="1">
      <c r="A3" s="71" t="s">
        <v>15</v>
      </c>
      <c r="B3" s="131" t="s">
        <v>16</v>
      </c>
      <c r="C3" s="131"/>
      <c r="D3" s="132"/>
      <c r="E3" s="35"/>
      <c r="F3" s="35"/>
      <c r="G3" s="35"/>
      <c r="H3" s="35"/>
      <c r="I3" s="97"/>
      <c r="J3" s="97"/>
      <c r="K3" s="97"/>
      <c r="L3" s="81"/>
    </row>
    <row r="4" spans="1:12" s="76" customFormat="1" ht="13.2">
      <c r="A4" s="37" t="s">
        <v>17</v>
      </c>
      <c r="B4" s="98" t="s">
        <v>18</v>
      </c>
      <c r="C4" s="99"/>
      <c r="D4" s="100"/>
      <c r="E4" s="35"/>
      <c r="F4" s="35"/>
      <c r="G4" s="35"/>
      <c r="H4" s="35"/>
      <c r="I4" s="97"/>
      <c r="J4" s="97"/>
      <c r="K4" s="97"/>
      <c r="L4" s="81"/>
    </row>
    <row r="5" spans="1:12" s="77" customFormat="1" ht="26.4">
      <c r="A5" s="37" t="s">
        <v>19</v>
      </c>
      <c r="B5" s="101" t="s">
        <v>20</v>
      </c>
      <c r="C5" s="102"/>
      <c r="D5" s="103"/>
      <c r="E5" s="39"/>
      <c r="F5" s="39"/>
      <c r="G5" s="39"/>
      <c r="H5" s="39"/>
      <c r="I5" s="104"/>
      <c r="J5" s="104"/>
      <c r="K5" s="104"/>
      <c r="L5" s="82"/>
    </row>
    <row r="6" spans="1:12" s="76" customFormat="1" ht="15" customHeight="1">
      <c r="A6" s="40" t="s">
        <v>21</v>
      </c>
      <c r="B6" s="41">
        <f>COUNTIF(J12:J17,"Pass")</f>
        <v>3</v>
      </c>
      <c r="C6" s="42" t="s">
        <v>22</v>
      </c>
      <c r="D6" s="43">
        <f>COUNTIF(J10:J736,"Pending")</f>
        <v>0</v>
      </c>
      <c r="E6" s="36"/>
      <c r="F6" s="36"/>
      <c r="G6" s="36"/>
      <c r="H6" s="36"/>
      <c r="I6" s="97"/>
      <c r="J6" s="97"/>
      <c r="K6" s="97"/>
      <c r="L6" s="81"/>
    </row>
    <row r="7" spans="1:12" s="76" customFormat="1" ht="15" customHeight="1">
      <c r="A7" s="44" t="s">
        <v>23</v>
      </c>
      <c r="B7" s="45">
        <f>COUNTIF(J12:J17,"Fail")</f>
        <v>0</v>
      </c>
      <c r="C7" s="46" t="s">
        <v>24</v>
      </c>
      <c r="D7" s="47">
        <f>COUNTA(A12:A17)-15</f>
        <v>-9</v>
      </c>
      <c r="E7" s="48"/>
      <c r="F7" s="48"/>
      <c r="G7" s="48"/>
      <c r="H7" s="48"/>
      <c r="I7" s="97"/>
      <c r="J7" s="97"/>
      <c r="K7" s="97"/>
      <c r="L7" s="81"/>
    </row>
    <row r="8" spans="1:12" s="76" customFormat="1" ht="15" customHeight="1">
      <c r="A8" s="107"/>
      <c r="B8" s="107"/>
      <c r="C8" s="107"/>
      <c r="D8" s="107"/>
      <c r="E8" s="36"/>
      <c r="F8" s="36"/>
      <c r="G8" s="36"/>
      <c r="H8" s="36"/>
      <c r="I8" s="36"/>
      <c r="J8" s="49"/>
      <c r="K8" s="49"/>
      <c r="L8" s="81"/>
    </row>
    <row r="9" spans="1:12" s="78" customFormat="1" ht="12" customHeight="1">
      <c r="A9" s="113" t="s">
        <v>25</v>
      </c>
      <c r="B9" s="115" t="s">
        <v>26</v>
      </c>
      <c r="C9" s="113" t="s">
        <v>27</v>
      </c>
      <c r="D9" s="119" t="s">
        <v>28</v>
      </c>
      <c r="E9" s="120"/>
      <c r="F9" s="120"/>
      <c r="G9" s="121"/>
      <c r="H9" s="117" t="s">
        <v>29</v>
      </c>
      <c r="I9" s="118" t="s">
        <v>30</v>
      </c>
      <c r="J9" s="118" t="s">
        <v>31</v>
      </c>
      <c r="K9" s="118" t="s">
        <v>32</v>
      </c>
      <c r="L9" s="83"/>
    </row>
    <row r="10" spans="1:12" s="76" customFormat="1" ht="12" customHeight="1">
      <c r="A10" s="114"/>
      <c r="B10" s="116"/>
      <c r="C10" s="114"/>
      <c r="D10" s="122"/>
      <c r="E10" s="123"/>
      <c r="F10" s="123"/>
      <c r="G10" s="124"/>
      <c r="H10" s="113"/>
      <c r="I10" s="113"/>
      <c r="J10" s="113"/>
      <c r="K10" s="113"/>
      <c r="L10" s="81"/>
    </row>
    <row r="11" spans="1:12" s="79" customFormat="1" ht="15">
      <c r="A11" s="108"/>
      <c r="B11" s="108"/>
      <c r="C11" s="108"/>
      <c r="D11" s="108"/>
      <c r="E11" s="108"/>
      <c r="F11" s="108"/>
      <c r="G11" s="108"/>
      <c r="H11" s="108"/>
      <c r="I11" s="108"/>
      <c r="J11" s="108"/>
      <c r="K11" s="109"/>
    </row>
    <row r="12" spans="1:12" s="80" customFormat="1" ht="13.2">
      <c r="A12" s="110" t="s">
        <v>33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2"/>
    </row>
    <row r="13" spans="1:12" s="80" customFormat="1" ht="79.2" outlineLevel="1">
      <c r="A13" s="52" t="s">
        <v>34</v>
      </c>
      <c r="B13" s="53" t="s">
        <v>35</v>
      </c>
      <c r="C13" s="54" t="s">
        <v>36</v>
      </c>
      <c r="D13" s="127" t="s">
        <v>37</v>
      </c>
      <c r="E13" s="128"/>
      <c r="F13" s="128"/>
      <c r="G13" s="59"/>
      <c r="H13" s="56"/>
      <c r="I13" s="57"/>
      <c r="J13" s="54" t="s">
        <v>21</v>
      </c>
      <c r="K13" s="54"/>
    </row>
    <row r="14" spans="1:12" s="80" customFormat="1" ht="13.2" outlineLevel="1">
      <c r="A14" s="129" t="s">
        <v>38</v>
      </c>
      <c r="B14" s="130"/>
      <c r="C14" s="130"/>
      <c r="D14" s="50"/>
      <c r="E14" s="50"/>
      <c r="F14" s="50"/>
      <c r="G14" s="50"/>
      <c r="H14" s="50"/>
      <c r="I14" s="50"/>
      <c r="J14" s="50"/>
      <c r="K14" s="51"/>
    </row>
    <row r="15" spans="1:12" s="80" customFormat="1" ht="63.75" customHeight="1" outlineLevel="1">
      <c r="A15" s="52" t="s">
        <v>39</v>
      </c>
      <c r="B15" s="84" t="s">
        <v>40</v>
      </c>
      <c r="C15" s="63" t="s">
        <v>41</v>
      </c>
      <c r="D15" s="105" t="s">
        <v>42</v>
      </c>
      <c r="E15" s="128"/>
      <c r="F15" s="128"/>
      <c r="G15" s="59"/>
      <c r="H15" s="56"/>
      <c r="I15" s="58"/>
      <c r="J15" s="54" t="s">
        <v>21</v>
      </c>
      <c r="K15" s="54"/>
    </row>
    <row r="16" spans="1:12" s="80" customFormat="1" ht="13.2" outlineLevel="1">
      <c r="A16" s="129" t="s">
        <v>43</v>
      </c>
      <c r="B16" s="130"/>
      <c r="C16" s="130"/>
      <c r="D16" s="50"/>
      <c r="E16" s="50"/>
      <c r="F16" s="50"/>
      <c r="G16" s="50"/>
      <c r="H16" s="50"/>
      <c r="I16" s="50"/>
      <c r="J16" s="50"/>
      <c r="K16" s="51"/>
    </row>
    <row r="17" spans="1:11" s="80" customFormat="1" ht="63.75" customHeight="1" outlineLevel="1">
      <c r="A17" s="52" t="s">
        <v>44</v>
      </c>
      <c r="B17" s="85" t="s">
        <v>40</v>
      </c>
      <c r="C17" s="54" t="s">
        <v>45</v>
      </c>
      <c r="D17" s="105" t="s">
        <v>46</v>
      </c>
      <c r="E17" s="106"/>
      <c r="F17" s="106"/>
      <c r="G17" s="59"/>
      <c r="H17" s="56"/>
      <c r="I17" s="58"/>
      <c r="J17" s="54" t="s">
        <v>21</v>
      </c>
      <c r="K17" s="54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13:F13"/>
    <mergeCell ref="A14:C14"/>
    <mergeCell ref="D15:F15"/>
    <mergeCell ref="A16:C16"/>
    <mergeCell ref="B3:D3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EEAB-D6EB-4EA8-B404-49C0A5FE4EB8}">
  <dimension ref="A1:L55"/>
  <sheetViews>
    <sheetView workbookViewId="0">
      <selection activeCell="B5" sqref="B5:D5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75" customFormat="1" ht="12.75" customHeight="1">
      <c r="A1" s="30" t="s">
        <v>0</v>
      </c>
      <c r="B1" s="125"/>
      <c r="C1" s="125"/>
      <c r="D1" s="125"/>
      <c r="E1" s="31"/>
      <c r="F1" s="31"/>
      <c r="G1" s="31"/>
      <c r="H1" s="31"/>
      <c r="I1" s="31"/>
      <c r="J1" s="32"/>
      <c r="K1" s="31"/>
      <c r="L1" s="33"/>
    </row>
    <row r="2" spans="1:12" s="75" customFormat="1" ht="11.25" customHeight="1" thickBot="1">
      <c r="A2" s="33"/>
      <c r="B2" s="126"/>
      <c r="C2" s="126"/>
      <c r="D2" s="126"/>
      <c r="E2" s="31"/>
      <c r="F2" s="31"/>
      <c r="G2" s="31"/>
      <c r="H2" s="31"/>
      <c r="I2" s="31"/>
      <c r="J2" s="32"/>
      <c r="K2" s="31"/>
      <c r="L2" s="33"/>
    </row>
    <row r="3" spans="1:12" s="76" customFormat="1" ht="15" customHeight="1">
      <c r="A3" s="71" t="s">
        <v>15</v>
      </c>
      <c r="B3" s="131" t="s">
        <v>48</v>
      </c>
      <c r="C3" s="131"/>
      <c r="D3" s="132"/>
      <c r="E3" s="35"/>
      <c r="F3" s="35"/>
      <c r="G3" s="35"/>
      <c r="H3" s="35"/>
      <c r="I3" s="97"/>
      <c r="J3" s="97"/>
      <c r="K3" s="97"/>
      <c r="L3" s="81"/>
    </row>
    <row r="4" spans="1:12" s="76" customFormat="1" ht="13.2" customHeight="1">
      <c r="A4" s="37" t="s">
        <v>17</v>
      </c>
      <c r="B4" s="98" t="s">
        <v>155</v>
      </c>
      <c r="C4" s="99"/>
      <c r="D4" s="100"/>
      <c r="E4" s="35"/>
      <c r="F4" s="35"/>
      <c r="G4" s="35"/>
      <c r="H4" s="35"/>
      <c r="I4" s="97"/>
      <c r="J4" s="97"/>
      <c r="K4" s="97"/>
      <c r="L4" s="81"/>
    </row>
    <row r="5" spans="1:12" s="77" customFormat="1" ht="26.4">
      <c r="A5" s="37" t="s">
        <v>19</v>
      </c>
      <c r="B5" s="101" t="s">
        <v>20</v>
      </c>
      <c r="C5" s="102"/>
      <c r="D5" s="103"/>
      <c r="E5" s="39"/>
      <c r="F5" s="39"/>
      <c r="G5" s="39"/>
      <c r="H5" s="39"/>
      <c r="I5" s="104"/>
      <c r="J5" s="104"/>
      <c r="K5" s="104"/>
      <c r="L5" s="82"/>
    </row>
    <row r="6" spans="1:12" s="76" customFormat="1" ht="15" customHeight="1">
      <c r="A6" s="40" t="s">
        <v>21</v>
      </c>
      <c r="B6" s="41">
        <v>0</v>
      </c>
      <c r="C6" s="42" t="s">
        <v>22</v>
      </c>
      <c r="D6" s="43">
        <v>5</v>
      </c>
      <c r="E6" s="36"/>
      <c r="F6" s="36"/>
      <c r="G6" s="36"/>
      <c r="H6" s="36"/>
      <c r="I6" s="97"/>
      <c r="J6" s="97"/>
      <c r="K6" s="97"/>
      <c r="L6" s="81"/>
    </row>
    <row r="7" spans="1:12" s="76" customFormat="1" ht="15" customHeight="1" thickBot="1">
      <c r="A7" s="44" t="s">
        <v>23</v>
      </c>
      <c r="B7" s="45">
        <v>0</v>
      </c>
      <c r="C7" s="46" t="s">
        <v>24</v>
      </c>
      <c r="D7" s="47">
        <v>10</v>
      </c>
      <c r="E7" s="48"/>
      <c r="F7" s="48"/>
      <c r="G7" s="48"/>
      <c r="H7" s="48"/>
      <c r="I7" s="97"/>
      <c r="J7" s="97"/>
      <c r="K7" s="97"/>
      <c r="L7" s="81"/>
    </row>
    <row r="8" spans="1:12" s="76" customFormat="1" ht="15" customHeight="1">
      <c r="A8" s="107"/>
      <c r="B8" s="107"/>
      <c r="C8" s="107"/>
      <c r="D8" s="107"/>
      <c r="E8" s="36"/>
      <c r="F8" s="36"/>
      <c r="G8" s="36"/>
      <c r="H8" s="36"/>
      <c r="I8" s="36"/>
      <c r="J8" s="49"/>
      <c r="K8" s="49"/>
      <c r="L8" s="81"/>
    </row>
    <row r="9" spans="1:12" s="78" customFormat="1" ht="12" customHeight="1">
      <c r="A9" s="113" t="s">
        <v>25</v>
      </c>
      <c r="B9" s="115" t="s">
        <v>26</v>
      </c>
      <c r="C9" s="113" t="s">
        <v>27</v>
      </c>
      <c r="D9" s="119" t="s">
        <v>28</v>
      </c>
      <c r="E9" s="120"/>
      <c r="F9" s="120"/>
      <c r="G9" s="121"/>
      <c r="H9" s="117" t="s">
        <v>29</v>
      </c>
      <c r="I9" s="118" t="s">
        <v>30</v>
      </c>
      <c r="J9" s="118" t="s">
        <v>31</v>
      </c>
      <c r="K9" s="118" t="s">
        <v>32</v>
      </c>
      <c r="L9" s="83"/>
    </row>
    <row r="10" spans="1:12" s="76" customFormat="1" ht="12" customHeight="1">
      <c r="A10" s="114"/>
      <c r="B10" s="116"/>
      <c r="C10" s="114"/>
      <c r="D10" s="122"/>
      <c r="E10" s="123"/>
      <c r="F10" s="123"/>
      <c r="G10" s="124"/>
      <c r="H10" s="113"/>
      <c r="I10" s="113"/>
      <c r="J10" s="113"/>
      <c r="K10" s="113"/>
      <c r="L10" s="81"/>
    </row>
    <row r="11" spans="1:12" s="79" customFormat="1" ht="15">
      <c r="A11" s="108"/>
      <c r="B11" s="108"/>
      <c r="C11" s="108"/>
      <c r="D11" s="108"/>
      <c r="E11" s="108"/>
      <c r="F11" s="108"/>
      <c r="G11" s="108"/>
      <c r="H11" s="108"/>
      <c r="I11" s="108"/>
      <c r="J11" s="108"/>
      <c r="K11" s="109"/>
    </row>
    <row r="12" spans="1:12" s="80" customFormat="1" ht="13.2">
      <c r="A12" s="110" t="s">
        <v>33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2"/>
    </row>
    <row r="13" spans="1:12" s="80" customFormat="1" ht="79.2" outlineLevel="1">
      <c r="A13" s="52" t="s">
        <v>34</v>
      </c>
      <c r="B13" s="53" t="s">
        <v>35</v>
      </c>
      <c r="C13" s="54" t="s">
        <v>36</v>
      </c>
      <c r="D13" s="127" t="s">
        <v>37</v>
      </c>
      <c r="E13" s="128"/>
      <c r="F13" s="128"/>
      <c r="G13" s="59"/>
      <c r="H13" s="56"/>
      <c r="I13" s="57"/>
      <c r="J13" s="54" t="s">
        <v>21</v>
      </c>
      <c r="K13" s="54"/>
    </row>
    <row r="14" spans="1:12" s="80" customFormat="1" ht="13.2" outlineLevel="1">
      <c r="A14" s="129" t="s">
        <v>38</v>
      </c>
      <c r="B14" s="130"/>
      <c r="C14" s="130"/>
      <c r="D14" s="50"/>
      <c r="E14" s="50"/>
      <c r="F14" s="50"/>
      <c r="G14" s="50"/>
      <c r="H14" s="50"/>
      <c r="I14" s="50"/>
      <c r="J14" s="50"/>
      <c r="K14" s="51"/>
    </row>
    <row r="15" spans="1:12" s="80" customFormat="1" ht="63.75" customHeight="1" outlineLevel="1">
      <c r="A15" s="52" t="s">
        <v>39</v>
      </c>
      <c r="B15" s="84" t="s">
        <v>40</v>
      </c>
      <c r="C15" s="63" t="s">
        <v>41</v>
      </c>
      <c r="D15" s="105" t="s">
        <v>42</v>
      </c>
      <c r="E15" s="128"/>
      <c r="F15" s="128"/>
      <c r="G15" s="59"/>
      <c r="H15" s="56"/>
      <c r="I15" s="58"/>
      <c r="J15" s="54" t="s">
        <v>21</v>
      </c>
      <c r="K15" s="54"/>
    </row>
    <row r="16" spans="1:12" s="80" customFormat="1" ht="13.2" outlineLevel="1">
      <c r="A16" s="129" t="s">
        <v>43</v>
      </c>
      <c r="B16" s="130"/>
      <c r="C16" s="130"/>
      <c r="D16" s="50"/>
      <c r="E16" s="50"/>
      <c r="F16" s="50"/>
      <c r="G16" s="50"/>
      <c r="H16" s="50"/>
      <c r="I16" s="50"/>
      <c r="J16" s="50"/>
      <c r="K16" s="51"/>
    </row>
    <row r="17" spans="1:11" s="80" customFormat="1" ht="63.75" customHeight="1" outlineLevel="1">
      <c r="A17" s="52" t="s">
        <v>44</v>
      </c>
      <c r="B17" s="85" t="s">
        <v>40</v>
      </c>
      <c r="C17" s="54" t="s">
        <v>45</v>
      </c>
      <c r="D17" s="105" t="s">
        <v>46</v>
      </c>
      <c r="E17" s="106"/>
      <c r="F17" s="106"/>
      <c r="G17" s="59"/>
      <c r="H17" s="56"/>
      <c r="I17" s="58"/>
      <c r="J17" s="54" t="s">
        <v>21</v>
      </c>
      <c r="K17" s="54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A16:C16"/>
    <mergeCell ref="D17:F17"/>
    <mergeCell ref="K9:K10"/>
    <mergeCell ref="A11:K11"/>
    <mergeCell ref="A12:K12"/>
    <mergeCell ref="D13:F13"/>
    <mergeCell ref="A14:C14"/>
    <mergeCell ref="D15:F1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1:D2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6"/>
  <sheetViews>
    <sheetView topLeftCell="A8" zoomScale="69" workbookViewId="0">
      <selection activeCell="A8" sqref="A3:D8"/>
    </sheetView>
  </sheetViews>
  <sheetFormatPr defaultColWidth="8.88671875" defaultRowHeight="13.2"/>
  <cols>
    <col min="1" max="1" width="22.5546875" customWidth="1"/>
    <col min="2" max="2" width="18" customWidth="1"/>
    <col min="3" max="3" width="32.44140625" customWidth="1"/>
  </cols>
  <sheetData>
    <row r="1" spans="1:11" ht="13.8">
      <c r="A1" s="30" t="s">
        <v>0</v>
      </c>
      <c r="B1" s="69" t="s">
        <v>47</v>
      </c>
      <c r="C1" s="69"/>
      <c r="D1" s="69"/>
      <c r="E1" s="31"/>
      <c r="F1" s="31"/>
      <c r="G1" s="31"/>
      <c r="H1" s="31"/>
      <c r="I1" s="31"/>
      <c r="J1" s="32"/>
      <c r="K1" s="31"/>
    </row>
    <row r="2" spans="1:11" ht="13.8">
      <c r="A2" s="33"/>
      <c r="B2" s="70"/>
      <c r="C2" s="70"/>
      <c r="D2" s="70"/>
      <c r="E2" s="31"/>
      <c r="F2" s="31"/>
      <c r="G2" s="31"/>
      <c r="H2" s="31"/>
      <c r="I2" s="31"/>
      <c r="J2" s="32"/>
      <c r="K2" s="31"/>
    </row>
    <row r="3" spans="1:11" ht="13.8">
      <c r="A3" s="71" t="s">
        <v>15</v>
      </c>
      <c r="B3" s="131" t="s">
        <v>48</v>
      </c>
      <c r="C3" s="131"/>
      <c r="D3" s="132"/>
      <c r="E3" s="35"/>
      <c r="F3" s="35"/>
      <c r="G3" s="35"/>
      <c r="H3" s="35"/>
      <c r="I3" s="97"/>
      <c r="J3" s="97"/>
      <c r="K3" s="97"/>
    </row>
    <row r="4" spans="1:11" ht="13.8">
      <c r="A4" s="37" t="s">
        <v>17</v>
      </c>
      <c r="B4" s="98" t="s">
        <v>49</v>
      </c>
      <c r="C4" s="99"/>
      <c r="D4" s="100"/>
      <c r="E4" s="35"/>
      <c r="F4" s="35"/>
      <c r="G4" s="35"/>
      <c r="H4" s="35"/>
      <c r="I4" s="97"/>
      <c r="J4" s="97"/>
      <c r="K4" s="97"/>
    </row>
    <row r="5" spans="1:11">
      <c r="A5" s="37" t="s">
        <v>19</v>
      </c>
      <c r="B5" s="101" t="s">
        <v>20</v>
      </c>
      <c r="C5" s="102"/>
      <c r="D5" s="103"/>
      <c r="E5" s="39"/>
      <c r="F5" s="39"/>
      <c r="G5" s="39"/>
      <c r="H5" s="39"/>
      <c r="I5" s="104"/>
      <c r="J5" s="104"/>
      <c r="K5" s="104"/>
    </row>
    <row r="6" spans="1:11" ht="13.8">
      <c r="A6" s="40" t="s">
        <v>21</v>
      </c>
      <c r="B6" s="41">
        <v>0</v>
      </c>
      <c r="C6" s="42" t="s">
        <v>22</v>
      </c>
      <c r="D6" s="43">
        <v>5</v>
      </c>
      <c r="E6" s="36"/>
      <c r="F6" s="36"/>
      <c r="G6" s="36"/>
      <c r="H6" s="36"/>
      <c r="I6" s="97"/>
      <c r="J6" s="97"/>
      <c r="K6" s="97"/>
    </row>
    <row r="7" spans="1:11" ht="13.8">
      <c r="A7" s="44" t="s">
        <v>23</v>
      </c>
      <c r="B7" s="45">
        <v>0</v>
      </c>
      <c r="C7" s="46" t="s">
        <v>24</v>
      </c>
      <c r="D7" s="47">
        <v>10</v>
      </c>
      <c r="E7" s="48"/>
      <c r="F7" s="48"/>
      <c r="G7" s="48"/>
      <c r="H7" s="48"/>
      <c r="I7" s="97"/>
      <c r="J7" s="97"/>
      <c r="K7" s="97"/>
    </row>
    <row r="8" spans="1:11" ht="13.8">
      <c r="A8" s="107"/>
      <c r="B8" s="107"/>
      <c r="C8" s="107"/>
      <c r="D8" s="107"/>
      <c r="E8" s="36"/>
      <c r="F8" s="36"/>
      <c r="G8" s="36"/>
      <c r="H8" s="36"/>
      <c r="I8" s="36"/>
      <c r="J8" s="49"/>
      <c r="K8" s="49"/>
    </row>
    <row r="9" spans="1:11">
      <c r="A9" s="113" t="s">
        <v>25</v>
      </c>
      <c r="B9" s="115" t="s">
        <v>26</v>
      </c>
      <c r="C9" s="113" t="s">
        <v>27</v>
      </c>
      <c r="D9" s="119" t="s">
        <v>28</v>
      </c>
      <c r="E9" s="120"/>
      <c r="F9" s="120"/>
      <c r="G9" s="121"/>
      <c r="H9" s="117" t="s">
        <v>29</v>
      </c>
      <c r="I9" s="118" t="s">
        <v>30</v>
      </c>
      <c r="J9" s="118" t="s">
        <v>31</v>
      </c>
      <c r="K9" s="118" t="s">
        <v>32</v>
      </c>
    </row>
    <row r="10" spans="1:11">
      <c r="A10" s="114"/>
      <c r="B10" s="116"/>
      <c r="C10" s="114"/>
      <c r="D10" s="122"/>
      <c r="E10" s="123"/>
      <c r="F10" s="123"/>
      <c r="G10" s="124"/>
      <c r="H10" s="113"/>
      <c r="I10" s="113"/>
      <c r="J10" s="113"/>
      <c r="K10" s="113"/>
    </row>
    <row r="11" spans="1:11" ht="15">
      <c r="A11" s="108"/>
      <c r="B11" s="108"/>
      <c r="C11" s="108"/>
      <c r="D11" s="108"/>
      <c r="E11" s="108"/>
      <c r="F11" s="108"/>
      <c r="G11" s="108"/>
      <c r="H11" s="108"/>
      <c r="I11" s="108"/>
      <c r="J11" s="108"/>
      <c r="K11" s="109"/>
    </row>
    <row r="12" spans="1:11">
      <c r="A12" s="110" t="s">
        <v>50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2"/>
    </row>
    <row r="13" spans="1:11" ht="105.6">
      <c r="A13" s="52" t="s">
        <v>34</v>
      </c>
      <c r="B13" s="54" t="s">
        <v>51</v>
      </c>
      <c r="C13" s="54" t="s">
        <v>52</v>
      </c>
      <c r="D13" s="134" t="s">
        <v>53</v>
      </c>
      <c r="E13" s="128"/>
      <c r="F13" s="128"/>
      <c r="G13" s="133"/>
      <c r="H13" s="56"/>
      <c r="I13" s="57"/>
      <c r="J13" s="54" t="s">
        <v>22</v>
      </c>
      <c r="K13" s="54"/>
    </row>
    <row r="14" spans="1:11">
      <c r="A14" s="110" t="s">
        <v>54</v>
      </c>
      <c r="B14" s="111"/>
      <c r="C14" s="111"/>
      <c r="D14" s="111"/>
      <c r="E14" s="111"/>
      <c r="F14" s="111"/>
      <c r="G14" s="111"/>
      <c r="H14" s="111"/>
      <c r="I14" s="111"/>
      <c r="J14" s="111"/>
      <c r="K14" s="112"/>
    </row>
    <row r="15" spans="1:11" ht="92.4">
      <c r="A15" s="72" t="s">
        <v>39</v>
      </c>
      <c r="B15" s="72" t="s">
        <v>55</v>
      </c>
      <c r="C15" s="72" t="s">
        <v>56</v>
      </c>
      <c r="D15" s="135" t="s">
        <v>57</v>
      </c>
      <c r="E15" s="136"/>
      <c r="F15" s="136"/>
      <c r="G15" s="137"/>
      <c r="H15" s="73"/>
      <c r="I15" s="73"/>
      <c r="J15" s="74" t="s">
        <v>22</v>
      </c>
      <c r="K15" s="73"/>
    </row>
    <row r="16" spans="1:11">
      <c r="A16" s="110" t="s">
        <v>58</v>
      </c>
      <c r="B16" s="111"/>
      <c r="C16" s="111"/>
      <c r="D16" s="50"/>
      <c r="E16" s="50"/>
      <c r="F16" s="50"/>
      <c r="G16" s="50"/>
      <c r="H16" s="50"/>
      <c r="I16" s="50"/>
      <c r="J16" s="50"/>
      <c r="K16" s="51"/>
    </row>
    <row r="17" spans="1:11" ht="26.4">
      <c r="A17" s="52" t="s">
        <v>44</v>
      </c>
      <c r="B17" s="63" t="s">
        <v>59</v>
      </c>
      <c r="C17" s="63" t="s">
        <v>60</v>
      </c>
      <c r="D17" s="134" t="s">
        <v>61</v>
      </c>
      <c r="E17" s="138"/>
      <c r="F17" s="138"/>
      <c r="G17" s="139"/>
      <c r="H17" s="56"/>
      <c r="I17" s="58"/>
      <c r="J17" s="54" t="s">
        <v>22</v>
      </c>
      <c r="K17" s="54"/>
    </row>
    <row r="18" spans="1:11">
      <c r="A18" s="110" t="s">
        <v>62</v>
      </c>
      <c r="B18" s="111"/>
      <c r="C18" s="111"/>
      <c r="D18" s="50"/>
      <c r="E18" s="50"/>
      <c r="F18" s="50"/>
      <c r="G18" s="50"/>
      <c r="H18" s="50"/>
      <c r="I18" s="50"/>
      <c r="J18" s="50"/>
      <c r="K18" s="51"/>
    </row>
    <row r="19" spans="1:11" ht="39.6">
      <c r="A19" s="52" t="s">
        <v>63</v>
      </c>
      <c r="B19" s="54" t="s">
        <v>64</v>
      </c>
      <c r="C19" s="54" t="s">
        <v>65</v>
      </c>
      <c r="D19" s="127" t="s">
        <v>66</v>
      </c>
      <c r="E19" s="128"/>
      <c r="F19" s="128"/>
      <c r="G19" s="133"/>
      <c r="H19" s="56"/>
      <c r="I19" s="58"/>
      <c r="J19" s="54" t="s">
        <v>22</v>
      </c>
      <c r="K19" s="54"/>
    </row>
    <row r="20" spans="1:11">
      <c r="A20" s="110" t="s">
        <v>67</v>
      </c>
      <c r="B20" s="111"/>
      <c r="C20" s="111"/>
      <c r="D20" s="50"/>
      <c r="E20" s="50"/>
      <c r="F20" s="50"/>
      <c r="G20" s="50"/>
      <c r="H20" s="50"/>
      <c r="I20" s="50"/>
      <c r="J20" s="50"/>
      <c r="K20" s="51"/>
    </row>
    <row r="21" spans="1:11" ht="66">
      <c r="A21" s="52" t="s">
        <v>68</v>
      </c>
      <c r="B21" s="54" t="s">
        <v>69</v>
      </c>
      <c r="C21" s="54" t="s">
        <v>70</v>
      </c>
      <c r="D21" s="127" t="s">
        <v>71</v>
      </c>
      <c r="E21" s="128"/>
      <c r="F21" s="128"/>
      <c r="G21" s="133"/>
      <c r="H21" s="56"/>
      <c r="I21" s="58"/>
      <c r="J21" s="54" t="s">
        <v>22</v>
      </c>
      <c r="K21" s="54"/>
    </row>
    <row r="22" spans="1:11">
      <c r="A22" s="64" t="s">
        <v>121</v>
      </c>
    </row>
    <row r="23" spans="1:11">
      <c r="A23" s="64" t="s">
        <v>122</v>
      </c>
    </row>
    <row r="24" spans="1:11">
      <c r="A24" s="64" t="s">
        <v>123</v>
      </c>
    </row>
    <row r="25" spans="1:11">
      <c r="A25" s="64" t="s">
        <v>124</v>
      </c>
    </row>
    <row r="26" spans="1:11" ht="26.4">
      <c r="A26" s="64" t="s">
        <v>125</v>
      </c>
    </row>
    <row r="27" spans="1:11" ht="39.6">
      <c r="A27" s="64" t="s">
        <v>126</v>
      </c>
      <c r="C27" t="s">
        <v>154</v>
      </c>
    </row>
    <row r="28" spans="1:11">
      <c r="A28" s="64" t="s">
        <v>127</v>
      </c>
    </row>
    <row r="29" spans="1:11" ht="26.4">
      <c r="A29" s="64" t="s">
        <v>128</v>
      </c>
    </row>
    <row r="30" spans="1:11" ht="26.4">
      <c r="A30" s="64" t="s">
        <v>129</v>
      </c>
    </row>
    <row r="31" spans="1:11" ht="39.6">
      <c r="A31" s="64" t="s">
        <v>130</v>
      </c>
    </row>
    <row r="32" spans="1:11">
      <c r="A32" s="89" t="s">
        <v>131</v>
      </c>
    </row>
    <row r="33" spans="1:2" ht="66">
      <c r="A33" s="89" t="s">
        <v>132</v>
      </c>
      <c r="B33" t="s">
        <v>136</v>
      </c>
    </row>
    <row r="34" spans="1:2" ht="26.4">
      <c r="A34" s="89" t="s">
        <v>133</v>
      </c>
    </row>
    <row r="35" spans="1:2" ht="26.4">
      <c r="A35" s="89" t="s">
        <v>134</v>
      </c>
    </row>
    <row r="36" spans="1:2" ht="26.4">
      <c r="A36" s="89" t="s">
        <v>135</v>
      </c>
    </row>
  </sheetData>
  <mergeCells count="28">
    <mergeCell ref="A18:C18"/>
    <mergeCell ref="D19:G19"/>
    <mergeCell ref="A20:C20"/>
    <mergeCell ref="D21:G21"/>
    <mergeCell ref="A9:A10"/>
    <mergeCell ref="B9:B10"/>
    <mergeCell ref="C9:C10"/>
    <mergeCell ref="D9:G10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9"/>
  <sheetViews>
    <sheetView topLeftCell="A8" zoomScale="50" workbookViewId="0">
      <selection activeCell="C35" sqref="C35"/>
    </sheetView>
  </sheetViews>
  <sheetFormatPr defaultColWidth="9" defaultRowHeight="13.2"/>
  <cols>
    <col min="1" max="1" width="18.21875" customWidth="1"/>
    <col min="2" max="2" width="26.6640625" customWidth="1"/>
    <col min="3" max="3" width="33.44140625" customWidth="1"/>
    <col min="6" max="6" width="17.6640625" customWidth="1"/>
    <col min="7" max="7" width="0.88671875" customWidth="1"/>
  </cols>
  <sheetData>
    <row r="1" spans="1:11" ht="13.8">
      <c r="A1" s="30" t="s">
        <v>0</v>
      </c>
      <c r="B1" s="125"/>
      <c r="C1" s="125"/>
      <c r="D1" s="125"/>
      <c r="E1" s="31"/>
      <c r="F1" s="31"/>
      <c r="G1" s="31"/>
      <c r="H1" s="31"/>
      <c r="I1" s="31"/>
      <c r="J1" s="32"/>
      <c r="K1" s="31"/>
    </row>
    <row r="2" spans="1:11" ht="13.8">
      <c r="A2" s="33"/>
      <c r="B2" s="126"/>
      <c r="C2" s="126"/>
      <c r="D2" s="126"/>
      <c r="E2" s="31"/>
      <c r="F2" s="31"/>
      <c r="G2" s="31"/>
      <c r="H2" s="31"/>
      <c r="I2" s="31"/>
      <c r="J2" s="32"/>
      <c r="K2" s="31"/>
    </row>
    <row r="3" spans="1:11" ht="13.8">
      <c r="A3" s="34" t="s">
        <v>15</v>
      </c>
      <c r="B3" s="131" t="s">
        <v>72</v>
      </c>
      <c r="C3" s="131"/>
      <c r="D3" s="132"/>
      <c r="E3" s="35"/>
      <c r="F3" s="35"/>
      <c r="G3" s="35"/>
      <c r="H3" s="35"/>
      <c r="I3" s="97"/>
      <c r="J3" s="97"/>
      <c r="K3" s="97"/>
    </row>
    <row r="4" spans="1:11" ht="13.8">
      <c r="A4" s="37" t="s">
        <v>17</v>
      </c>
      <c r="B4" s="98" t="s">
        <v>73</v>
      </c>
      <c r="C4" s="99"/>
      <c r="D4" s="100"/>
      <c r="E4" s="35"/>
      <c r="F4" s="35"/>
      <c r="G4" s="35"/>
      <c r="H4" s="35"/>
      <c r="I4" s="97"/>
      <c r="J4" s="97"/>
      <c r="K4" s="97"/>
    </row>
    <row r="5" spans="1:11" ht="26.4">
      <c r="A5" s="38" t="s">
        <v>19</v>
      </c>
      <c r="B5" s="101" t="s">
        <v>20</v>
      </c>
      <c r="C5" s="102"/>
      <c r="D5" s="103"/>
      <c r="E5" s="39"/>
      <c r="F5" s="39"/>
      <c r="G5" s="39"/>
      <c r="H5" s="39"/>
      <c r="I5" s="104"/>
      <c r="J5" s="104"/>
      <c r="K5" s="104"/>
    </row>
    <row r="6" spans="1:11" ht="13.8">
      <c r="A6" s="40" t="s">
        <v>21</v>
      </c>
      <c r="B6" s="41">
        <f>COUNTIF(J12:J23,"Pass")</f>
        <v>0</v>
      </c>
      <c r="C6" s="42" t="s">
        <v>22</v>
      </c>
      <c r="D6" s="43">
        <f>COUNTIF(J10:J741,"Pending")</f>
        <v>10</v>
      </c>
      <c r="E6" s="36"/>
      <c r="F6" s="36"/>
      <c r="G6" s="36"/>
      <c r="H6" s="36"/>
      <c r="I6" s="97"/>
      <c r="J6" s="97"/>
      <c r="K6" s="97"/>
    </row>
    <row r="7" spans="1:11" ht="13.8">
      <c r="A7" s="44" t="s">
        <v>23</v>
      </c>
      <c r="B7" s="45">
        <f>COUNTIF(J12:J23,"Fail")</f>
        <v>0</v>
      </c>
      <c r="C7" s="46" t="s">
        <v>24</v>
      </c>
      <c r="D7" s="47">
        <f>COUNTA(A12:A24)-3</f>
        <v>10</v>
      </c>
      <c r="E7" s="48"/>
      <c r="F7" s="48"/>
      <c r="G7" s="48"/>
      <c r="H7" s="48"/>
      <c r="I7" s="97"/>
      <c r="J7" s="97"/>
      <c r="K7" s="97"/>
    </row>
    <row r="8" spans="1:11" ht="13.8">
      <c r="A8" s="107"/>
      <c r="B8" s="107"/>
      <c r="C8" s="107"/>
      <c r="D8" s="107"/>
      <c r="E8" s="36"/>
      <c r="F8" s="36"/>
      <c r="G8" s="36"/>
      <c r="H8" s="36"/>
      <c r="I8" s="36"/>
      <c r="J8" s="49"/>
      <c r="K8" s="49"/>
    </row>
    <row r="9" spans="1:11">
      <c r="A9" s="113" t="s">
        <v>25</v>
      </c>
      <c r="B9" s="115" t="s">
        <v>26</v>
      </c>
      <c r="C9" s="113" t="s">
        <v>27</v>
      </c>
      <c r="D9" s="119" t="s">
        <v>28</v>
      </c>
      <c r="E9" s="120"/>
      <c r="F9" s="120"/>
      <c r="G9" s="121"/>
      <c r="H9" s="117" t="s">
        <v>29</v>
      </c>
      <c r="I9" s="118" t="s">
        <v>30</v>
      </c>
      <c r="J9" s="118" t="s">
        <v>31</v>
      </c>
      <c r="K9" s="118" t="s">
        <v>32</v>
      </c>
    </row>
    <row r="10" spans="1:11">
      <c r="A10" s="114"/>
      <c r="B10" s="116"/>
      <c r="C10" s="114"/>
      <c r="D10" s="122"/>
      <c r="E10" s="123"/>
      <c r="F10" s="123"/>
      <c r="G10" s="124"/>
      <c r="H10" s="113"/>
      <c r="I10" s="113"/>
      <c r="J10" s="113"/>
      <c r="K10" s="113"/>
    </row>
    <row r="11" spans="1:11" ht="15">
      <c r="A11" s="108"/>
      <c r="B11" s="108"/>
      <c r="C11" s="108"/>
      <c r="D11" s="108"/>
      <c r="E11" s="108"/>
      <c r="F11" s="108"/>
      <c r="G11" s="108"/>
      <c r="H11" s="108"/>
      <c r="I11" s="108"/>
      <c r="J11" s="108"/>
      <c r="K11" s="109"/>
    </row>
    <row r="12" spans="1:11">
      <c r="A12" s="110" t="s">
        <v>74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2"/>
    </row>
    <row r="13" spans="1:11" ht="55.5" customHeight="1">
      <c r="A13" s="52" t="s">
        <v>75</v>
      </c>
      <c r="B13" s="53" t="s">
        <v>76</v>
      </c>
      <c r="C13" s="54" t="s">
        <v>77</v>
      </c>
      <c r="D13" s="140" t="s">
        <v>78</v>
      </c>
      <c r="E13" s="141"/>
      <c r="F13" s="141"/>
      <c r="G13" s="55"/>
      <c r="H13" s="56"/>
      <c r="I13" s="57"/>
      <c r="J13" s="54" t="s">
        <v>22</v>
      </c>
      <c r="K13" s="54"/>
    </row>
    <row r="14" spans="1:11" ht="54" customHeight="1">
      <c r="A14" s="52" t="s">
        <v>79</v>
      </c>
      <c r="B14" s="53" t="s">
        <v>80</v>
      </c>
      <c r="C14" s="58" t="s">
        <v>81</v>
      </c>
      <c r="D14" s="127" t="s">
        <v>82</v>
      </c>
      <c r="E14" s="128"/>
      <c r="F14" s="128"/>
      <c r="G14" s="59"/>
      <c r="H14" s="59"/>
      <c r="I14" s="60"/>
      <c r="J14" s="54" t="s">
        <v>22</v>
      </c>
      <c r="K14" s="54"/>
    </row>
    <row r="15" spans="1:11">
      <c r="A15" s="110" t="s">
        <v>83</v>
      </c>
      <c r="B15" s="111"/>
      <c r="C15" s="111"/>
      <c r="D15" s="61"/>
      <c r="E15" s="61"/>
      <c r="F15" s="61"/>
      <c r="G15" s="61"/>
      <c r="H15" s="50"/>
      <c r="I15" s="50"/>
      <c r="J15" s="50"/>
      <c r="K15" s="51"/>
    </row>
    <row r="16" spans="1:11" ht="77.25" customHeight="1">
      <c r="A16" s="52" t="s">
        <v>84</v>
      </c>
      <c r="B16" s="93" t="s">
        <v>150</v>
      </c>
      <c r="C16" s="58" t="s">
        <v>85</v>
      </c>
      <c r="D16" s="127" t="s">
        <v>86</v>
      </c>
      <c r="E16" s="128"/>
      <c r="F16" s="128"/>
      <c r="G16" s="62"/>
      <c r="H16" s="59"/>
      <c r="I16" s="54"/>
      <c r="J16" s="54" t="s">
        <v>22</v>
      </c>
      <c r="K16" s="54"/>
    </row>
    <row r="17" spans="1:11" ht="78" customHeight="1">
      <c r="A17" s="52" t="s">
        <v>87</v>
      </c>
      <c r="B17" s="94" t="s">
        <v>88</v>
      </c>
      <c r="C17" s="63" t="s">
        <v>89</v>
      </c>
      <c r="D17" s="140" t="s">
        <v>86</v>
      </c>
      <c r="E17" s="141"/>
      <c r="F17" s="141"/>
      <c r="G17" s="55"/>
      <c r="H17" s="56"/>
      <c r="I17" s="58"/>
      <c r="J17" s="54" t="s">
        <v>22</v>
      </c>
      <c r="K17" s="54"/>
    </row>
    <row r="18" spans="1:11" ht="79.5" customHeight="1">
      <c r="A18" s="52" t="s">
        <v>90</v>
      </c>
      <c r="B18" s="93" t="s">
        <v>148</v>
      </c>
      <c r="C18" s="58" t="s">
        <v>91</v>
      </c>
      <c r="D18" s="127" t="s">
        <v>92</v>
      </c>
      <c r="E18" s="128"/>
      <c r="F18" s="128"/>
      <c r="G18" s="59"/>
      <c r="H18" s="59"/>
      <c r="I18" s="54"/>
      <c r="J18" s="54" t="s">
        <v>22</v>
      </c>
      <c r="K18" s="54"/>
    </row>
    <row r="19" spans="1:11" ht="78.75" customHeight="1">
      <c r="A19" s="52" t="s">
        <v>93</v>
      </c>
      <c r="B19" s="93" t="s">
        <v>94</v>
      </c>
      <c r="C19" s="58" t="s">
        <v>95</v>
      </c>
      <c r="D19" s="127" t="s">
        <v>92</v>
      </c>
      <c r="E19" s="128"/>
      <c r="F19" s="128"/>
      <c r="G19" s="59"/>
      <c r="H19" s="59"/>
      <c r="I19" s="54"/>
      <c r="J19" s="54" t="s">
        <v>22</v>
      </c>
      <c r="K19" s="54"/>
    </row>
    <row r="20" spans="1:11" ht="78.75" customHeight="1">
      <c r="A20" s="64" t="s">
        <v>96</v>
      </c>
      <c r="B20" s="95" t="s">
        <v>97</v>
      </c>
      <c r="C20" s="65" t="s">
        <v>98</v>
      </c>
      <c r="D20" s="142" t="s">
        <v>92</v>
      </c>
      <c r="E20" s="143"/>
      <c r="F20" s="143"/>
      <c r="G20" s="66"/>
      <c r="H20" s="67"/>
      <c r="I20" s="67"/>
      <c r="J20" s="67" t="s">
        <v>22</v>
      </c>
      <c r="K20" s="67"/>
    </row>
    <row r="21" spans="1:11">
      <c r="A21" s="110" t="s">
        <v>99</v>
      </c>
      <c r="B21" s="111"/>
      <c r="C21" s="111"/>
      <c r="D21" s="61"/>
      <c r="E21" s="61"/>
      <c r="F21" s="61"/>
      <c r="G21" s="61"/>
      <c r="H21" s="50"/>
      <c r="I21" s="50"/>
      <c r="J21" s="50"/>
      <c r="K21" s="51"/>
    </row>
    <row r="22" spans="1:11" ht="66" customHeight="1">
      <c r="A22" s="52" t="s">
        <v>100</v>
      </c>
      <c r="B22" s="63" t="s">
        <v>101</v>
      </c>
      <c r="C22" s="63" t="s">
        <v>102</v>
      </c>
      <c r="D22" s="127" t="s">
        <v>103</v>
      </c>
      <c r="E22" s="128"/>
      <c r="F22" s="128"/>
      <c r="G22" s="59"/>
      <c r="H22" s="56"/>
      <c r="I22" s="58"/>
      <c r="J22" s="54" t="s">
        <v>22</v>
      </c>
      <c r="K22" s="54"/>
    </row>
    <row r="23" spans="1:11" ht="65.25" customHeight="1">
      <c r="A23" s="68" t="s">
        <v>104</v>
      </c>
      <c r="B23" s="54" t="s">
        <v>105</v>
      </c>
      <c r="C23" s="54" t="s">
        <v>106</v>
      </c>
      <c r="D23" s="127" t="s">
        <v>107</v>
      </c>
      <c r="E23" s="128"/>
      <c r="F23" s="128"/>
      <c r="G23" s="59"/>
      <c r="H23" s="54"/>
      <c r="I23" s="54"/>
      <c r="J23" s="54" t="s">
        <v>22</v>
      </c>
      <c r="K23" s="54"/>
    </row>
    <row r="24" spans="1:11" ht="67.5" customHeight="1">
      <c r="A24" s="68" t="s">
        <v>108</v>
      </c>
      <c r="B24" s="54" t="s">
        <v>109</v>
      </c>
      <c r="C24" s="54" t="s">
        <v>110</v>
      </c>
      <c r="D24" s="127" t="s">
        <v>107</v>
      </c>
      <c r="E24" s="128"/>
      <c r="F24" s="128"/>
      <c r="G24" s="59"/>
      <c r="H24" s="54"/>
      <c r="I24" s="54"/>
      <c r="J24" s="54" t="s">
        <v>22</v>
      </c>
      <c r="K24" s="54"/>
    </row>
    <row r="25" spans="1:11">
      <c r="A25" s="92" t="s">
        <v>137</v>
      </c>
    </row>
    <row r="26" spans="1:11">
      <c r="A26" s="92" t="s">
        <v>138</v>
      </c>
    </row>
    <row r="27" spans="1:11">
      <c r="A27" s="90"/>
    </row>
    <row r="28" spans="1:11" ht="26.4">
      <c r="A28" s="91" t="s">
        <v>139</v>
      </c>
    </row>
    <row r="29" spans="1:11" ht="26.4">
      <c r="A29" s="91" t="s">
        <v>140</v>
      </c>
    </row>
    <row r="30" spans="1:11">
      <c r="A30" s="90"/>
    </row>
    <row r="31" spans="1:11" ht="26.4">
      <c r="A31" s="91" t="s">
        <v>141</v>
      </c>
      <c r="C31" s="96" t="s">
        <v>149</v>
      </c>
    </row>
    <row r="32" spans="1:11">
      <c r="A32" s="90"/>
    </row>
    <row r="33" spans="1:2" ht="26.4">
      <c r="A33" s="91" t="s">
        <v>142</v>
      </c>
    </row>
    <row r="34" spans="1:2">
      <c r="A34" s="90" t="s">
        <v>143</v>
      </c>
    </row>
    <row r="35" spans="1:2" ht="52.8">
      <c r="A35" s="91" t="s">
        <v>144</v>
      </c>
    </row>
    <row r="36" spans="1:2">
      <c r="A36" s="90" t="s">
        <v>145</v>
      </c>
    </row>
    <row r="37" spans="1:2" ht="26.4">
      <c r="A37" s="91" t="s">
        <v>146</v>
      </c>
      <c r="B37" s="90"/>
    </row>
    <row r="39" spans="1:2">
      <c r="A39" s="90" t="s">
        <v>147</v>
      </c>
    </row>
  </sheetData>
  <mergeCells count="32">
    <mergeCell ref="B1:D2"/>
    <mergeCell ref="D23:F23"/>
    <mergeCell ref="D24:F24"/>
    <mergeCell ref="A9:A10"/>
    <mergeCell ref="B9:B10"/>
    <mergeCell ref="C9:C10"/>
    <mergeCell ref="D9:G10"/>
    <mergeCell ref="D18:F18"/>
    <mergeCell ref="D19:F19"/>
    <mergeCell ref="D20:F20"/>
    <mergeCell ref="A21:C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workbookViewId="0">
      <selection activeCell="C4" sqref="C4"/>
    </sheetView>
  </sheetViews>
  <sheetFormatPr defaultColWidth="8.77734375" defaultRowHeight="13.2"/>
  <cols>
    <col min="3" max="3" width="22.77734375" customWidth="1"/>
    <col min="7" max="7" width="18.77734375" customWidth="1"/>
  </cols>
  <sheetData>
    <row r="1" spans="1:7" ht="22.2">
      <c r="A1" s="2" t="s">
        <v>111</v>
      </c>
      <c r="B1" s="3"/>
      <c r="C1" s="4"/>
      <c r="D1" s="4"/>
      <c r="E1" s="4"/>
      <c r="F1" s="4"/>
      <c r="G1" s="5"/>
    </row>
    <row r="2" spans="1:7" ht="14.25" customHeight="1">
      <c r="A2" s="2"/>
      <c r="B2" s="3"/>
      <c r="C2" s="4"/>
      <c r="D2" s="4"/>
      <c r="E2" s="4"/>
      <c r="F2" s="4"/>
      <c r="G2" s="5"/>
    </row>
    <row r="3" spans="1:7" ht="13.8">
      <c r="B3" s="6" t="s">
        <v>112</v>
      </c>
      <c r="C3" s="4"/>
      <c r="D3" s="4"/>
      <c r="E3" s="4"/>
      <c r="F3" s="4"/>
      <c r="G3" s="5"/>
    </row>
    <row r="4" spans="1:7" ht="13.8">
      <c r="B4" s="6" t="s">
        <v>113</v>
      </c>
      <c r="C4" s="7"/>
      <c r="D4" s="6"/>
      <c r="E4" s="6"/>
      <c r="F4" s="6"/>
      <c r="G4" s="6"/>
    </row>
    <row r="5" spans="1:7" ht="13.8">
      <c r="A5" s="6"/>
      <c r="B5" s="6"/>
      <c r="C5" s="6"/>
      <c r="D5" s="6"/>
      <c r="E5" s="6"/>
      <c r="F5" s="6"/>
      <c r="G5" s="6"/>
    </row>
    <row r="6" spans="1:7" ht="13.8">
      <c r="A6" s="6"/>
      <c r="B6" s="6"/>
      <c r="C6" s="6"/>
      <c r="D6" s="6"/>
      <c r="E6" s="6"/>
      <c r="F6" s="6"/>
      <c r="G6" s="6"/>
    </row>
    <row r="7" spans="1:7" ht="26.4">
      <c r="A7" s="6"/>
      <c r="B7" s="8" t="s">
        <v>114</v>
      </c>
      <c r="C7" s="9" t="s">
        <v>115</v>
      </c>
      <c r="D7" s="10" t="s">
        <v>21</v>
      </c>
      <c r="E7" s="9" t="s">
        <v>23</v>
      </c>
      <c r="F7" s="9" t="s">
        <v>22</v>
      </c>
      <c r="G7" s="11" t="s">
        <v>116</v>
      </c>
    </row>
    <row r="8" spans="1:7" s="1" customFormat="1" ht="13.8">
      <c r="A8" s="12"/>
      <c r="B8" s="13">
        <v>1</v>
      </c>
      <c r="C8" s="14" t="str">
        <f>Samples!B4</f>
        <v>CR100 - Export to excel</v>
      </c>
      <c r="D8" s="15">
        <f>Samples!B6</f>
        <v>3</v>
      </c>
      <c r="E8" s="14">
        <f>Samples!B7</f>
        <v>0</v>
      </c>
      <c r="F8" s="14">
        <f>Samples!D6</f>
        <v>0</v>
      </c>
      <c r="G8" s="15">
        <f>Samples!D7</f>
        <v>-9</v>
      </c>
    </row>
    <row r="9" spans="1:7" ht="13.8">
      <c r="A9" s="6"/>
      <c r="B9" s="16"/>
      <c r="C9" s="17"/>
      <c r="D9" s="18"/>
      <c r="E9" s="19"/>
      <c r="F9" s="19"/>
      <c r="G9" s="20"/>
    </row>
    <row r="10" spans="1:7" ht="13.8">
      <c r="A10" s="6"/>
      <c r="B10" s="21"/>
      <c r="C10" s="22" t="s">
        <v>117</v>
      </c>
      <c r="D10" s="23">
        <f>SUM(D6:D9)</f>
        <v>3</v>
      </c>
      <c r="E10" s="23">
        <f>SUM(E6:E9)</f>
        <v>0</v>
      </c>
      <c r="F10" s="23">
        <f>SUM(F6:F9)</f>
        <v>0</v>
      </c>
      <c r="G10" s="24">
        <f>SUM(G6:G9)</f>
        <v>-9</v>
      </c>
    </row>
    <row r="11" spans="1:7" ht="13.8">
      <c r="A11" s="6"/>
      <c r="B11" s="25"/>
      <c r="C11" s="6"/>
      <c r="D11" s="26"/>
      <c r="E11" s="27"/>
      <c r="F11" s="27"/>
      <c r="G11" s="27"/>
    </row>
    <row r="12" spans="1:7" ht="13.8">
      <c r="A12" s="6"/>
      <c r="B12" s="6"/>
      <c r="C12" s="6" t="s">
        <v>118</v>
      </c>
      <c r="D12" s="6"/>
      <c r="E12" s="28">
        <f>(D10+E10)*100/G10</f>
        <v>-33.3333333333333</v>
      </c>
      <c r="F12" s="6" t="s">
        <v>119</v>
      </c>
      <c r="G12" s="29"/>
    </row>
    <row r="13" spans="1:7" ht="13.8">
      <c r="A13" s="6"/>
      <c r="B13" s="6"/>
      <c r="C13" s="6" t="s">
        <v>120</v>
      </c>
      <c r="D13" s="6"/>
      <c r="E13" s="28">
        <f>D10*100/G10</f>
        <v>-33.3333333333333</v>
      </c>
      <c r="F13" s="6" t="s">
        <v>119</v>
      </c>
      <c r="G13" s="29"/>
    </row>
  </sheetData>
  <pageMargins left="0.75" right="0.75" top="1" bottom="1" header="0.5" footer="0.5"/>
  <pageSetup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Samples</vt:lpstr>
      <vt:lpstr>Sheet1</vt:lpstr>
      <vt:lpstr>Booking</vt:lpstr>
      <vt:lpstr>Cancel Booking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my xuyen</cp:lastModifiedBy>
  <cp:lastPrinted>2006-08-02T10:15:00Z</cp:lastPrinted>
  <dcterms:created xsi:type="dcterms:W3CDTF">2002-07-27T17:17:00Z</dcterms:created>
  <dcterms:modified xsi:type="dcterms:W3CDTF">2026-04-19T10:05:00Z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
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sports-field-booking-management\"/>
    </mc:Choice>
  </mc:AlternateContent>
  <xr:revisionPtr revIDLastSave="0" documentId="13_ncr:1_{9D8C809D-0D5F-4D1D-A227-99701DE534BF}" xr6:coauthVersionLast="47" xr6:coauthVersionMax="47" xr10:uidLastSave="{00000000-0000-0000-0000-000000000000}"/>
  <bookViews>
    <workbookView xWindow="-108" yWindow="-108" windowWidth="23256" windowHeight="12456" tabRatio="821" xr2:uid="{00000000-000D-0000-FFFF-FFFF00000000}"/>
  </bookViews>
  <sheets>
    <sheet name="Cover" sheetId="97" r:id="rId1"/>
    <sheet name="Samples" sheetId="122" r:id="rId2"/>
    <sheet name="Booking" sheetId="124" r:id="rId3"/>
    <sheet name="Cancel Booking" sheetId="123" r:id="rId4"/>
    <sheet name="Test Report" sheetId="107" r:id="rId5"/>
  </sheets>
  <externalReferences>
    <externalReference r:id="rId6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</workbook>
</file>

<file path=xl/calcChain.xml><?xml version="1.0" encoding="utf-8"?>
<calcChain xmlns="http://schemas.openxmlformats.org/spreadsheetml/2006/main">
  <c r="E13" i="107" l="1"/>
  <c r="E12" i="107"/>
  <c r="G10" i="107"/>
  <c r="F10" i="107"/>
  <c r="E10" i="107"/>
  <c r="D10" i="107"/>
  <c r="G8" i="107"/>
  <c r="F8" i="107"/>
  <c r="E8" i="107"/>
  <c r="D8" i="107"/>
  <c r="C8" i="107"/>
  <c r="D7" i="123"/>
  <c r="B7" i="123"/>
  <c r="D6" i="123"/>
  <c r="B6" i="123"/>
  <c r="D7" i="122"/>
  <c r="B7" i="122"/>
  <c r="D6" i="122"/>
  <c r="B6" i="122"/>
</calcChain>
</file>

<file path=xl/sharedStrings.xml><?xml version="1.0" encoding="utf-8"?>
<sst xmlns="http://schemas.openxmlformats.org/spreadsheetml/2006/main" count="326" uniqueCount="223">
  <si>
    <t>TEST CASE</t>
  </si>
  <si>
    <t>Version:</t>
  </si>
  <si>
    <t>1.4</t>
  </si>
  <si>
    <t>Issue date:</t>
  </si>
  <si>
    <t>15/04/2026</t>
  </si>
  <si>
    <t>Project Name:</t>
  </si>
  <si>
    <t>Quản lý đặt sân thể thao</t>
  </si>
  <si>
    <t>Project Code:</t>
  </si>
  <si>
    <t>SPORT-BOOKING-01</t>
  </si>
  <si>
    <t>Record of change:</t>
  </si>
  <si>
    <t>Effective Date</t>
  </si>
  <si>
    <t>Version</t>
  </si>
  <si>
    <t>Change location</t>
  </si>
  <si>
    <t>Change description</t>
  </si>
  <si>
    <t>Originator</t>
  </si>
  <si>
    <t>Reviewer/
Approver</t>
  </si>
  <si>
    <t>Reference</t>
  </si>
  <si>
    <t>09/03/2026</t>
  </si>
  <si>
    <t>1.0</t>
  </si>
  <si>
    <t>Initial commit – Tạo project, README.md</t>
  </si>
  <si>
    <t>16/03/2026</t>
  </si>
  <si>
    <t>1.1</t>
  </si>
  <si>
    <t>models.py, seed.py</t>
  </si>
  <si>
    <t>Tạo project cấu trúc ban đầu, định nghĩa models &amp; seed data</t>
  </si>
  <si>
    <t>25/03/2026</t>
  </si>
  <si>
    <t>README.md</t>
  </si>
  <si>
    <t>Cập nhật README, tạo nhánh chính</t>
  </si>
  <si>
    <t>29/03/2026</t>
  </si>
  <si>
    <t>1.2</t>
  </si>
  <si>
    <t>index.html (FE)</t>
  </si>
  <si>
    <t>FE KhamPha – Thiết kế trang khám phá sân</t>
  </si>
  <si>
    <t>02/04/2026</t>
  </si>
  <si>
    <t>featured.html</t>
  </si>
  <si>
    <t>Thiết kế trang Featured Page (nổi bật)</t>
  </si>
  <si>
    <t>04/04/2026</t>
  </si>
  <si>
    <t>seed.py, models.py</t>
  </si>
  <si>
    <t>Cập nhật dữ liệu mẫu (update data)</t>
  </si>
  <si>
    <t>05/04/2026</t>
  </si>
  <si>
    <t>1.3</t>
  </si>
  <si>
    <t>admin.py</t>
  </si>
  <si>
    <t>Long-administrator: Xây dựng trang Admin quản lý sân</t>
  </si>
  <si>
    <t>base.html, footer</t>
  </si>
  <si>
    <t>Cập nhật footer (update fe_footer)</t>
  </si>
  <si>
    <t>06/04/2026</t>
  </si>
  <si>
    <t>index.py</t>
  </si>
  <si>
    <t>Chỉnh sửa tabs điều hướng (edit tabs)</t>
  </si>
  <si>
    <t>10/04/2026</t>
  </si>
  <si>
    <t>dao.py, index.py</t>
  </si>
  <si>
    <t>API-BOOKING: Xây dựng API đặt sân, hủy sân</t>
  </si>
  <si>
    <t>dao.py, models.py</t>
  </si>
  <si>
    <t>Hoàn tất tích hợp code Xuyên + Quyên, giữ giao diện</t>
  </si>
  <si>
    <t>11/04/2026</t>
  </si>
  <si>
    <t>Chỉnh sửa file admin – cập nhật validation</t>
  </si>
  <si>
    <t>admin.py, dao.py</t>
  </si>
  <si>
    <t>LONG/feature/CRUD-validation: Thêm ràng buộc CRUD</t>
  </si>
  <si>
    <t>cancel-booking API: Hoàn thiện API hủy đặt sân</t>
  </si>
  <si>
    <t>12/04/2026</t>
  </si>
  <si>
    <t>index.html</t>
  </si>
  <si>
    <t>index.html: Cập nhật giao diện trang chủ, ràng buộc UI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</si>
  <si>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</si>
  <si>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t>Sample Project</t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</si>
  <si>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</si>
  <si>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CR100 - Export to excel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</si>
  <si>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</si>
  <si>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</si>
  <si>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</si>
  <si>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</si>
  <si>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</si>
  <si>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</si>
  <si>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</si>
  <si>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</si>
  <si>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</si>
  <si>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</si>
  <si>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</si>
  <si>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</si>
  <si>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</si>
  <si>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</si>
  <si>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Check add role "CanExportAllCarrierChoises": This will be typically set for System users only</t>
  </si>
  <si>
    <t>TC1</t>
  </si>
  <si>
    <t>Checking new role is added</t>
  </si>
  <si>
    <t xml:space="preserve">1: Go to the system TestProEngine with Classic or Current or Expert Mode
2: Go to maintenance 
3: Click Maintenance Users
4: Click Role Tab
</t>
  </si>
  <si>
    <r>
      <rPr>
        <sz val="10"/>
        <color indexed="8"/>
        <rFont val="Tahoma"/>
        <charset val="134"/>
      </rPr>
      <t>Role Tab is added a new role, it's name "</t>
    </r>
    <r>
      <rPr>
        <b/>
        <sz val="10"/>
        <color indexed="8"/>
        <rFont val="Tahoma"/>
        <charset val="134"/>
      </rPr>
      <t>CanExportAllCarrierChoices"</t>
    </r>
  </si>
  <si>
    <t>Check set Role CanExportAllCarrierChoices = True</t>
  </si>
  <si>
    <t>TC2</t>
  </si>
  <si>
    <r>
      <rPr>
        <sz val="10"/>
        <color indexed="8"/>
        <rFont val="Tahoma"/>
        <charset val="134"/>
      </rPr>
      <t xml:space="preserve">Checking new function is added in </t>
    </r>
    <r>
      <rPr>
        <b/>
        <sz val="10"/>
        <color indexed="8"/>
        <rFont val="Tahoma"/>
        <charset val="134"/>
      </rPr>
      <t>Classic or Current Mode</t>
    </r>
  </si>
  <si>
    <t>1: Go to the system TestProEngine with Classic or Current  Mode that has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</si>
  <si>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</si>
  <si>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Check set Role CanExportAllCarrierChoices = False</t>
  </si>
  <si>
    <t>TC3</t>
  </si>
  <si>
    <t>1: Go to the system TestProEngine with Classic or Current  Mode that has not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</si>
  <si>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Don't 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</si>
  <si>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BOOKING</t>
  </si>
  <si>
    <t>QUẢN LÝ ĐẶT SÂN THỂ THAO</t>
  </si>
  <si>
    <t>CR100 - BOOKING</t>
  </si>
  <si>
    <t>1. Không cho phép đặt sân khi chưa đăng nhập</t>
  </si>
  <si>
    <t>Truy cập ở trạng thái chưa đăng nhập  và nhấn vào "Đặt sân ngay"</t>
  </si>
  <si>
    <t>1: Truy cập trang khi chưa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</si>
  <si>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"Vui lòng đăng nhập để đặt sân!"</t>
    </r>
  </si>
  <si>
    <t>2. Đăng nhập tài khoản thành công và thực hiện đặt sân</t>
  </si>
  <si>
    <t>Truy cập bằng tài khoản thành công và nhấn "Đặt sân ngay"</t>
  </si>
  <si>
    <t>1: Truy cập trang khi đã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</si>
  <si>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"Đặt sân thành công!"</t>
    </r>
    <r>
      <rPr>
        <sz val="10"/>
        <color rgb="FF000000"/>
        <rFont val="Tahoma"/>
        <charset val="134"/>
      </rPr>
      <t xml:space="preserve"> và chuyển sân đã đặt sang tab </t>
    </r>
    <r>
      <rPr>
        <b/>
        <sz val="10"/>
        <color rgb="FF000000"/>
        <rFont val="Tahoma"/>
        <charset val="134"/>
      </rPr>
      <t>"Sân đã đặt"</t>
    </r>
  </si>
  <si>
    <t>3. Không được đặt sân trong quá khứ</t>
  </si>
  <si>
    <t>Chọn một ngày đã qua</t>
  </si>
  <si>
    <t>1: Chọn ngày đã qua trên lịch</t>
  </si>
  <si>
    <t>Nút ngày mờ đi không thể click vào</t>
  </si>
  <si>
    <t>4. Chọn ngày hiện tại nhưng không được chọn khung giờ đã trôi qua</t>
  </si>
  <si>
    <t>TC4</t>
  </si>
  <si>
    <t>Chọn ngày hiện tại và chọn thời gian đã qua</t>
  </si>
  <si>
    <t xml:space="preserve">1: Chọn ngày hiện tại
2: Chọn thời gian trong quá khứ
</t>
  </si>
  <si>
    <t>Nút thời gian mờ đi không thể chọn</t>
  </si>
  <si>
    <t>5. Một người chỉ được đặt tối đa 3 sân/ngày</t>
  </si>
  <si>
    <t>TC5</t>
  </si>
  <si>
    <t>Đặt từ 3 sân trở lại trong cùng 1 ngày thành công</t>
  </si>
  <si>
    <t>1: Đặt sân thứ nhất và thành công
2: Đặt sân thứ hai và thành công
3: Đặt sân thứ ba và thành công
4: Đặt sân thứ tư và nhận thông báo thất bại</t>
  </si>
  <si>
    <t>Cho phép người dùng đặt thành công 3 sân trong cùng 1 ngày, khi đặt tiếp thì nhận thông báo hệ thống "Bạn đã đạt giới hạn đặt sân trong ngày!"</t>
  </si>
  <si>
    <t>HỦY ĐẶT SÂN</t>
  </si>
  <si>
    <t>CR200 - CANCEL BOOKING</t>
  </si>
  <si>
    <t>1. Chỉ người đặt mới được hủy</t>
  </si>
  <si>
    <t>TC2-01</t>
  </si>
  <si>
    <t>Hủy sân sau khi đặt sân trong cùng một tài khoản</t>
  </si>
  <si>
    <t xml:space="preserve">1: Truy cập vào trang và đăng nhập tài khoản thành công.
2: Chuyển tab "Sân đã đặt" nhấn "HỦY SÂN" cần hủy.
</t>
  </si>
  <si>
    <t>Hệ thống tự động tải lại trang, tab "Sân đã đặt" không còn sân vừa hủy.</t>
  </si>
  <si>
    <t>TC2-02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</si>
  <si>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</si>
  <si>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</si>
  <si>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</si>
  <si>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2. Không hủy khi còn &lt;2 giờ trước giờ chơi</t>
  </si>
  <si>
    <t>TC2-03</t>
  </si>
  <si>
    <t>Booking #1 có giờ bắt đầu là 14:00 hôm nay. Thời gian hiện tại là 11:00:
1: Truy cập vào trang và đăng nhập tài khoản thành công.
2: Chuyển sang tab "Sân đã đặt".
3: Nhấn "HỦY SÂN" ở booking #1.</t>
  </si>
  <si>
    <t>Hệ thống tự động tải lại trang, tab "Sân đã đặt" không còn booking #1.</t>
  </si>
  <si>
    <t>TC2-04</t>
  </si>
  <si>
    <t>Hủy một sân 1 phút ngay trước hạn chót</t>
  </si>
  <si>
    <t>Booking #1 có giờ bắt đầu là 14:00 hôm nay. Thời gian hiện tại là 11:59:
1: Truy cập vào trang và đăng nhập tài khoản thành công.
2: Chuyển sang tab "Sân đã đặt".
3: Nhấn "HỦY SÂN" ở booking #1.</t>
  </si>
  <si>
    <t>TC2-05</t>
  </si>
  <si>
    <t>Booking #1 có giờ bắt đầu là 14:00 hôm nay. Thời gian hiện tại là 12:00:
1: Truy cập vào trang và đăng nhập tài khoản thành công.
2: Chuyển sang tab "Sân đã đặt".
3: Nhấn "HỦY SÂN" ở booking #1.</t>
  </si>
  <si>
    <t>Hệ thống từ chối huỷ sân, hiển thị thông báo "Sân sắp đá, không được huỷ!"</t>
  </si>
  <si>
    <t>TC2-06</t>
  </si>
  <si>
    <t>Huỷ một sân đã quá 1 phút sau hạn chót</t>
  </si>
  <si>
    <t>Booking #1 có giờ bắt đầu là 14:00 hôm nay. Thời gian hiện tại là 12:01:
1: Truy cập vào trang và đăng nhập tài khoản thành công.
2: Chuyển sang tab "Sân đã đặt".
3: Nhấn "HỦY SÂN" ở booking #1.</t>
  </si>
  <si>
    <t>TC2-07</t>
  </si>
  <si>
    <t>Huỷ một sân đã qua hạn chót 1 giờ.</t>
  </si>
  <si>
    <t>Booking #1 có giờ bắt đầu là 14:00 hôm nay. Thời gian hiện tại là 13:00:
1: Truy cập vào trang và đăng nhập tài khoản thành công.
2: Chuyển sang tab "Sân đã đặt".
3: Nhấn "HỦY SÂN" ở booking #1.</t>
  </si>
  <si>
    <t>3. Không hủy khi đang chơi</t>
  </si>
  <si>
    <t>TC2-08</t>
  </si>
  <si>
    <t>Hủy một sân đang trong thời gian sử dụng</t>
  </si>
  <si>
    <t>1: Truy cập vào trang và đăng nhập tài khoản thành công.
2: Chuyển sang tab "Sân đã đặt".
3: Nhấn "HỦY SÂN" ở booking đang trong thời gian sử dụng.</t>
  </si>
  <si>
    <t>Hệ thống có thông báo "Sân đang trong giờ sử dụng, bạn không thể hủy lúc này!"</t>
  </si>
  <si>
    <t>TC2-09</t>
  </si>
  <si>
    <t>Hủy một sân ngay khi vừa thi đấu xong</t>
  </si>
  <si>
    <t>1: Truy cập vào trang và đăng nhập tài khoản thành công.
2: Chuyển sang tab "Sân đã đặt".
3:  Nhấn "HỦY SÂN" ở booking vừa mới thi đấu xong.</t>
  </si>
  <si>
    <t>Hệ thống có thông báo "Sân này đã thi đấu xong, không thể hủy!"</t>
  </si>
  <si>
    <t>TC2-10</t>
  </si>
  <si>
    <t>Hủy một sân sau khi vừa thi đấu xong 15 phút.</t>
  </si>
  <si>
    <t>1: Truy cập vào trang và đăng nhập tài khoản thành công.
2: Chuyển sang tab "Sân đã đặt".
3:  Nhấn "HỦY SÂN" ở booking đã qua thời gian sử dụng 15 phút.</t>
  </si>
  <si>
    <t>TEST REPORT</t>
  </si>
  <si>
    <t>Note:</t>
  </si>
  <si>
    <t>Date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</si>
  <si>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</si>
  <si>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</si>
  <si>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</si>
  <si>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</si>
  <si>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</si>
  <si>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</si>
  <si>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</si>
  <si>
    <t xml:space="preserve">6.khung h tối thiếu &lt;1 </t>
  </si>
  <si>
    <t>tc1 slot &lt; 1h</t>
  </si>
  <si>
    <t>tc2 slot &gt;= 1h</t>
  </si>
  <si>
    <t xml:space="preserve">5.dăt tối đa 3 sân </t>
  </si>
  <si>
    <t xml:space="preserve">tc1 đặt &gt;3 sân cùng ngày bị từ chối </t>
  </si>
  <si>
    <t>tc2 booking bị hủy không tính vào giới hạn 3 sân/ngày</t>
  </si>
  <si>
    <t xml:space="preserve">7.không trùng khung giờ </t>
  </si>
  <si>
    <t xml:space="preserve">tc1 . Đặt trùng khung h với người đặt cùng sân </t>
  </si>
  <si>
    <t>tc2 . Cùng slot nhưng sân khác , dc phép đặt</t>
  </si>
  <si>
    <t xml:space="preserve">tc3. user đặt cùng sân cùng slot cùng ngày mà họ đã đặt trước đó </t>
  </si>
  <si>
    <t xml:space="preserve">8.hiển thị và tích hợp </t>
  </si>
  <si>
    <t xml:space="preserve">tc1 Slot đã đặt hiển thị booked=true trong API : nếu khung h đã được đặt , khi gọi API PHẢI TRẢ VỀ booking= true </t>
  </si>
  <si>
    <t>tc2 Trang venue_detail hiển thị đầy đủ thông tin</t>
  </si>
  <si>
    <t>tc3 API trả đúng số booking trong ngày</t>
  </si>
  <si>
    <t>tc4 Booking lưu đúng start_time và end_time</t>
  </si>
  <si>
    <t xml:space="preserve">test API - dữ liệu </t>
  </si>
  <si>
    <t>2.  &lt; 2 giờ chơi</t>
  </si>
  <si>
    <t>tc1 : hủy &lt; 2 h</t>
  </si>
  <si>
    <t>tc2 : hủy còn đúng 2h</t>
  </si>
  <si>
    <t xml:space="preserve">tc3 : hủy khi dang sử dụng </t>
  </si>
  <si>
    <t xml:space="preserve">tc4 : hủy sau khi đã sử dụng xong </t>
  </si>
  <si>
    <t xml:space="preserve">4 . Các trương hợp khác </t>
  </si>
  <si>
    <t xml:space="preserve">tc1 . Sau khi hủy , slot đó hiển thị là trống lại </t>
  </si>
  <si>
    <t>tc2 . Booking bị xóa hoàn toàn (ko chuyển sang cancelled)</t>
  </si>
  <si>
    <t xml:space="preserve">tc3 , hủy khi chưa đăng nhập </t>
  </si>
  <si>
    <t xml:space="preserve">1. chỉ người đặt mới hủy </t>
  </si>
  <si>
    <t xml:space="preserve">tc1 :hủy booking ko tồn tại </t>
  </si>
  <si>
    <t xml:space="preserve">Huỷ một sân đúng ngay hạn chót .  </t>
  </si>
  <si>
    <t xml:space="preserve">sửa lại những cái tô vàng . Đặt lại tên testcsce cho đúng . Hạn chot là hạn gì . </t>
  </si>
  <si>
    <t xml:space="preserve">Huỷ một sân trước 3 giờ trước hạn chót </t>
  </si>
  <si>
    <t>UC-00: Khởi tạo hệ thống</t>
  </si>
  <si>
    <t>UC-01: Quản lý dữ liệu sân
UC-02: Quản lý người dùng</t>
  </si>
  <si>
    <t>Tài liệu dự án – README v1.1</t>
  </si>
  <si>
    <t>UC-03: Tìm kiếm &amp; khám phá sân
Yêu cầu FE – Trang Explore</t>
  </si>
  <si>
    <t>UC-04: Xem sân nổi bật
Yêu cầu FE – Trang Featured</t>
  </si>
  <si>
    <t>UC-01: Quản lý dữ liệu sân
(Cập nhật seed data thực tế)</t>
  </si>
  <si>
    <t>UC-08: Quản lý Admin
Yêu cầu: CRUD Category, Product, User</t>
  </si>
  <si>
    <t>Yêu cầu FE – Footer &amp; Navigation
Issue #8 feature/fe_footer</t>
  </si>
  <si>
    <t>Yêu cầu FE – Điều hướng trang
UC-03: Khám phá sân</t>
  </si>
  <si>
    <t>UC-05: Đặt sân
UC-06: Hủy đặt sân
Issue #9 feature/API-booking</t>
  </si>
  <si>
    <t>UC-05: Đặt sân
UC-07: Đánh giá &amp; Yêu thích</t>
  </si>
  <si>
    <t>UC-08: Quản lý Admin
Yêu cầu: Validation dữ liệu Admin</t>
  </si>
  <si>
    <t>UC-08: Quản lý Admin
Yêu cầu: Không xóa sân đang có lịch đặt
Issue #10 CRUD-validation</t>
  </si>
  <si>
    <t>UC-06: Hủy đặt sân
Yêu cầu: Ràng buộc thời gian hủy</t>
  </si>
  <si>
    <t>UC-05: Đặt sân
UC-06: Hủy đặt sân
Yêu cầu FE – Constraint UI trang chủ
Issue #14 feature/constraints1</t>
  </si>
  <si>
    <t>Mỹ Xuyên</t>
  </si>
  <si>
    <t>Đại Long</t>
  </si>
  <si>
    <t>Đại Long / Thúy Quyên</t>
  </si>
  <si>
    <t>Thúy Quyên</t>
  </si>
  <si>
    <t>Thùy Quyên</t>
  </si>
  <si>
    <t>16/04/2026</t>
  </si>
  <si>
    <t>frontend (FE)</t>
  </si>
  <si>
    <t>Cập nhật giao diện FE</t>
  </si>
  <si>
    <t>17/04/2026</t>
  </si>
  <si>
    <t>dao.py, API-booking</t>
  </si>
  <si>
    <t>Hoàn thiện API booking</t>
  </si>
  <si>
    <t>UC-09: Giao diện trang chủ</t>
  </si>
  <si>
    <t>UC-05: Đặt sân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</si>
</sst>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-409]d\-mmm\-yy;@"/>
    <numFmt numFmtId="165" formatCode="0.000"/>
  </numFmts>
  <fonts count="34">
    <font>
      <sz val="11"/>
      <name val="ＭＳ Ｐゴシック"/>
      <charset val="128"/>
    </font>
    <font>
      <b/>
      <sz val="18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0"/>
      <color indexed="9"/>
      <name val="Tahoma"/>
      <charset val="134"/>
    </font>
    <font>
      <sz val="10"/>
      <name val="ＭＳ Ｐゴシック"/>
      <charset val="128"/>
    </font>
    <font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8"/>
      <color indexed="8"/>
      <name val="Tahoma"/>
      <charset val="134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sz val="10"/>
      <color rgb="FF000000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sz val="11"/>
      <name val="Tahoma"/>
      <charset val="134"/>
    </font>
    <font>
      <b/>
      <sz val="20"/>
      <name val="Tahoma"/>
      <charset val="134"/>
    </font>
    <font>
      <b/>
      <sz val="13"/>
      <color indexed="60"/>
      <name val="Tahoma"/>
      <charset val="134"/>
    </font>
    <font>
      <sz val="13"/>
      <name val="Arial"/>
      <charset val="134"/>
    </font>
    <font>
      <sz val="11"/>
      <color theme="1"/>
      <name val="Calibri"/>
      <charset val="134"/>
      <scheme val="minor"/>
    </font>
    <font>
      <sz val="11"/>
      <name val="Arial"/>
      <charset val="134"/>
    </font>
    <font>
      <sz val="20"/>
      <color theme="1"/>
      <name val="Calibri"/>
      <charset val="134"/>
      <scheme val="minor"/>
    </font>
    <font>
      <sz val="13"/>
      <name val="Tahoma"/>
      <charset val="134"/>
    </font>
    <font>
      <b/>
      <sz val="13"/>
      <color indexed="60"/>
      <name val="Times New Roman"/>
      <charset val="134"/>
    </font>
    <font>
      <sz val="13"/>
      <name val="Times New Roman"/>
      <charset val="134"/>
    </font>
    <font>
      <b/>
      <sz val="13"/>
      <color indexed="9"/>
      <name val="Times New Roman"/>
      <charset val="134"/>
    </font>
    <font>
      <sz val="9"/>
      <name val="ＭＳ ゴシック"/>
      <charset val="128"/>
    </font>
    <font>
      <b/>
      <sz val="10"/>
      <name val="MS Gothic"/>
      <charset val="134"/>
    </font>
    <font>
      <b/>
      <sz val="10"/>
      <name val="ＭＳ Ｐゴシック"/>
      <charset val="128"/>
    </font>
    <font>
      <b/>
      <sz val="10"/>
      <color rgb="FF000000"/>
      <name val="Tahoma"/>
      <charset val="134"/>
    </font>
    <font>
      <sz val="11"/>
      <name val="ＭＳ Ｐゴシック"/>
      <charset val="128"/>
    </font>
    <font>
      <sz val="11"/>
      <color rgb="FFFF0000"/>
      <name val="ＭＳ Ｐゴシック"/>
    </font>
    <font>
      <sz val="13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0" fontId="20" fillId="0" borderId="0"/>
    <xf numFmtId="0" fontId="31" fillId="0" borderId="0"/>
    <xf numFmtId="0" fontId="31" fillId="0" borderId="0" applyProtection="0"/>
    <xf numFmtId="0" fontId="27" fillId="0" borderId="0"/>
  </cellStyleXfs>
  <cellXfs count="163">
    <xf numFmtId="0" fontId="0" fillId="0" borderId="0" xfId="0"/>
    <xf numFmtId="0" fontId="0" fillId="0" borderId="0" xfId="0" applyAlignment="1">
      <alignment wrapText="1"/>
    </xf>
    <xf numFmtId="0" fontId="1" fillId="0" borderId="0" xfId="2" applyFont="1"/>
    <xf numFmtId="0" fontId="2" fillId="0" borderId="0" xfId="2" applyFont="1"/>
    <xf numFmtId="0" fontId="3" fillId="0" borderId="0" xfId="2" applyFont="1"/>
    <xf numFmtId="164" fontId="3" fillId="0" borderId="0" xfId="2" applyNumberFormat="1" applyFont="1"/>
    <xf numFmtId="0" fontId="3" fillId="0" borderId="0" xfId="0" applyFont="1"/>
    <xf numFmtId="164" fontId="3" fillId="0" borderId="1" xfId="0" applyNumberFormat="1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" fontId="3" fillId="0" borderId="6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0" borderId="5" xfId="0" applyFont="1" applyBorder="1"/>
    <xf numFmtId="0" fontId="5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4" fillId="2" borderId="8" xfId="0" applyFont="1" applyFill="1" applyBorder="1"/>
    <xf numFmtId="0" fontId="6" fillId="2" borderId="8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right" wrapText="1"/>
    </xf>
    <xf numFmtId="0" fontId="8" fillId="0" borderId="0" xfId="0" applyFont="1" applyAlignment="1">
      <alignment horizontal="center" wrapText="1"/>
    </xf>
    <xf numFmtId="0" fontId="2" fillId="3" borderId="0" xfId="3" applyFont="1" applyFill="1"/>
    <xf numFmtId="0" fontId="9" fillId="3" borderId="0" xfId="0" applyFont="1" applyFill="1" applyAlignment="1">
      <alignment wrapText="1"/>
    </xf>
    <xf numFmtId="0" fontId="8" fillId="3" borderId="0" xfId="0" applyFont="1" applyFill="1" applyAlignment="1">
      <alignment wrapText="1"/>
    </xf>
    <xf numFmtId="0" fontId="9" fillId="3" borderId="0" xfId="0" applyFont="1" applyFill="1"/>
    <xf numFmtId="0" fontId="2" fillId="3" borderId="11" xfId="3" applyFont="1" applyFill="1" applyBorder="1" applyAlignment="1">
      <alignment horizontal="left" vertical="top" wrapText="1"/>
    </xf>
    <xf numFmtId="0" fontId="3" fillId="3" borderId="0" xfId="3" applyFont="1" applyFill="1" applyAlignment="1">
      <alignment horizontal="left" wrapText="1"/>
    </xf>
    <xf numFmtId="0" fontId="8" fillId="3" borderId="0" xfId="0" applyFont="1" applyFill="1" applyAlignment="1">
      <alignment horizontal="center" wrapText="1"/>
    </xf>
    <xf numFmtId="0" fontId="2" fillId="3" borderId="14" xfId="3" applyFont="1" applyFill="1" applyBorder="1" applyAlignment="1">
      <alignment horizontal="left" vertical="center" wrapText="1"/>
    </xf>
    <xf numFmtId="0" fontId="2" fillId="3" borderId="14" xfId="3" applyFont="1" applyFill="1" applyBorder="1" applyAlignment="1">
      <alignment horizontal="left" vertical="top" wrapText="1"/>
    </xf>
    <xf numFmtId="0" fontId="3" fillId="3" borderId="0" xfId="3" applyFont="1" applyFill="1" applyAlignment="1">
      <alignment horizontal="left" vertical="center" wrapText="1"/>
    </xf>
    <xf numFmtId="0" fontId="8" fillId="3" borderId="14" xfId="0" applyFont="1" applyFill="1" applyBorder="1" applyAlignment="1">
      <alignment horizontal="right"/>
    </xf>
    <xf numFmtId="0" fontId="8" fillId="3" borderId="18" xfId="0" applyFont="1" applyFill="1" applyBorder="1" applyAlignment="1">
      <alignment wrapText="1"/>
    </xf>
    <xf numFmtId="0" fontId="8" fillId="3" borderId="18" xfId="0" applyFont="1" applyFill="1" applyBorder="1" applyAlignment="1">
      <alignment horizontal="center" wrapText="1"/>
    </xf>
    <xf numFmtId="0" fontId="8" fillId="3" borderId="19" xfId="0" applyFont="1" applyFill="1" applyBorder="1" applyAlignment="1">
      <alignment horizontal="center" wrapText="1"/>
    </xf>
    <xf numFmtId="0" fontId="8" fillId="3" borderId="20" xfId="0" applyFont="1" applyFill="1" applyBorder="1" applyAlignment="1">
      <alignment horizontal="right"/>
    </xf>
    <xf numFmtId="0" fontId="8" fillId="3" borderId="21" xfId="0" applyFont="1" applyFill="1" applyBorder="1" applyAlignment="1">
      <alignment wrapText="1"/>
    </xf>
    <xf numFmtId="0" fontId="8" fillId="0" borderId="21" xfId="0" applyFont="1" applyBorder="1" applyAlignment="1">
      <alignment horizontal="center"/>
    </xf>
    <xf numFmtId="1" fontId="8" fillId="3" borderId="22" xfId="0" applyNumberFormat="1" applyFont="1" applyFill="1" applyBorder="1" applyAlignment="1">
      <alignment horizontal="center" wrapText="1"/>
    </xf>
    <xf numFmtId="1" fontId="8" fillId="3" borderId="0" xfId="0" applyNumberFormat="1" applyFont="1" applyFill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11" fillId="6" borderId="16" xfId="3" applyFont="1" applyFill="1" applyBorder="1" applyAlignment="1">
      <alignment horizontal="left" vertical="center" wrapText="1"/>
    </xf>
    <xf numFmtId="0" fontId="11" fillId="6" borderId="32" xfId="3" applyFont="1" applyFill="1" applyBorder="1" applyAlignment="1">
      <alignment horizontal="left" vertical="center" wrapText="1"/>
    </xf>
    <xf numFmtId="165" fontId="8" fillId="0" borderId="18" xfId="0" applyNumberFormat="1" applyFont="1" applyBorder="1" applyAlignment="1">
      <alignment horizontal="left" vertical="top" wrapText="1"/>
    </xf>
    <xf numFmtId="0" fontId="8" fillId="0" borderId="18" xfId="0" applyFont="1" applyBorder="1" applyAlignment="1">
      <alignment vertical="top" wrapText="1"/>
    </xf>
    <xf numFmtId="0" fontId="8" fillId="0" borderId="18" xfId="0" applyFont="1" applyBorder="1" applyAlignment="1">
      <alignment horizontal="left" vertical="top" wrapText="1"/>
    </xf>
    <xf numFmtId="0" fontId="8" fillId="0" borderId="35" xfId="0" applyFont="1" applyBorder="1" applyAlignment="1">
      <alignment horizontal="left" vertical="top" wrapText="1"/>
    </xf>
    <xf numFmtId="0" fontId="8" fillId="0" borderId="16" xfId="0" applyFont="1" applyBorder="1" applyAlignment="1">
      <alignment horizontal="left" vertical="top" wrapText="1"/>
    </xf>
    <xf numFmtId="0" fontId="12" fillId="0" borderId="15" xfId="0" applyFont="1" applyBorder="1" applyAlignment="1">
      <alignment horizontal="left" vertical="top" wrapText="1"/>
    </xf>
    <xf numFmtId="0" fontId="8" fillId="0" borderId="15" xfId="0" applyFont="1" applyBorder="1" applyAlignment="1">
      <alignment horizontal="left" vertical="top" wrapText="1"/>
    </xf>
    <xf numFmtId="0" fontId="8" fillId="0" borderId="32" xfId="0" applyFont="1" applyBorder="1" applyAlignment="1">
      <alignment horizontal="left" vertical="top" wrapText="1"/>
    </xf>
    <xf numFmtId="0" fontId="12" fillId="0" borderId="18" xfId="0" applyFont="1" applyBorder="1" applyAlignment="1">
      <alignment horizontal="left" vertical="top" wrapText="1"/>
    </xf>
    <xf numFmtId="0" fontId="11" fillId="6" borderId="24" xfId="3" applyFont="1" applyFill="1" applyBorder="1" applyAlignment="1">
      <alignment horizontal="left" vertical="center" wrapText="1"/>
    </xf>
    <xf numFmtId="0" fontId="8" fillId="0" borderId="31" xfId="0" applyFont="1" applyBorder="1" applyAlignment="1">
      <alignment horizontal="left" vertical="top" wrapText="1"/>
    </xf>
    <xf numFmtId="0" fontId="8" fillId="0" borderId="29" xfId="0" applyFont="1" applyBorder="1" applyAlignment="1">
      <alignment horizontal="left" vertical="top" wrapText="1"/>
    </xf>
    <xf numFmtId="165" fontId="8" fillId="0" borderId="28" xfId="0" applyNumberFormat="1" applyFont="1" applyBorder="1" applyAlignment="1">
      <alignment horizontal="left" vertical="top" wrapText="1"/>
    </xf>
    <xf numFmtId="0" fontId="3" fillId="0" borderId="32" xfId="0" applyFont="1" applyBorder="1" applyAlignment="1">
      <alignment vertical="top" wrapText="1"/>
    </xf>
    <xf numFmtId="0" fontId="3" fillId="0" borderId="32" xfId="0" applyFont="1" applyBorder="1" applyAlignment="1">
      <alignment horizontal="left" vertical="top" wrapText="1"/>
    </xf>
    <xf numFmtId="0" fontId="3" fillId="0" borderId="18" xfId="0" applyFont="1" applyBorder="1" applyAlignment="1">
      <alignment horizontal="left" vertical="top" wrapText="1"/>
    </xf>
    <xf numFmtId="165" fontId="8" fillId="0" borderId="15" xfId="0" applyNumberFormat="1" applyFont="1" applyBorder="1" applyAlignment="1">
      <alignment horizontal="left" vertical="top" wrapText="1"/>
    </xf>
    <xf numFmtId="0" fontId="13" fillId="3" borderId="0" xfId="0" applyFont="1" applyFill="1" applyAlignment="1">
      <alignment wrapText="1"/>
    </xf>
    <xf numFmtId="0" fontId="13" fillId="3" borderId="10" xfId="0" applyFont="1" applyFill="1" applyBorder="1" applyAlignment="1">
      <alignment wrapText="1"/>
    </xf>
    <xf numFmtId="0" fontId="2" fillId="3" borderId="11" xfId="3" applyFont="1" applyFill="1" applyBorder="1" applyAlignment="1">
      <alignment horizontal="left" wrapText="1"/>
    </xf>
    <xf numFmtId="0" fontId="13" fillId="0" borderId="18" xfId="3" applyFont="1" applyBorder="1" applyAlignment="1">
      <alignment horizontal="left" vertical="top" wrapText="1"/>
    </xf>
    <xf numFmtId="0" fontId="11" fillId="0" borderId="18" xfId="3" applyFont="1" applyBorder="1" applyAlignment="1">
      <alignment horizontal="left" vertical="center" wrapText="1"/>
    </xf>
    <xf numFmtId="0" fontId="8" fillId="0" borderId="18" xfId="3" applyFont="1" applyBorder="1" applyAlignment="1">
      <alignment horizontal="left" vertical="center" wrapText="1"/>
    </xf>
    <xf numFmtId="0" fontId="9" fillId="0" borderId="0" xfId="0" applyFont="1"/>
    <xf numFmtId="0" fontId="8" fillId="0" borderId="0" xfId="0" applyFont="1"/>
    <xf numFmtId="0" fontId="8" fillId="0" borderId="0" xfId="0" applyFont="1" applyAlignment="1">
      <alignment vertical="center" wrapText="1"/>
    </xf>
    <xf numFmtId="0" fontId="14" fillId="0" borderId="0" xfId="0" applyFont="1"/>
    <xf numFmtId="0" fontId="15" fillId="0" borderId="0" xfId="0" applyFont="1"/>
    <xf numFmtId="0" fontId="9" fillId="0" borderId="0" xfId="0" applyFont="1" applyAlignment="1">
      <alignment vertical="top"/>
    </xf>
    <xf numFmtId="0" fontId="8" fillId="3" borderId="0" xfId="0" applyFont="1" applyFill="1"/>
    <xf numFmtId="0" fontId="8" fillId="3" borderId="0" xfId="0" applyFont="1" applyFill="1" applyAlignment="1">
      <alignment vertical="center" wrapText="1"/>
    </xf>
    <xf numFmtId="0" fontId="14" fillId="3" borderId="0" xfId="0" applyFont="1" applyFill="1"/>
    <xf numFmtId="0" fontId="8" fillId="0" borderId="29" xfId="0" applyFont="1" applyBorder="1" applyAlignment="1">
      <alignment horizontal="center" vertical="top" wrapText="1"/>
    </xf>
    <xf numFmtId="0" fontId="8" fillId="0" borderId="18" xfId="0" applyFont="1" applyBorder="1" applyAlignment="1">
      <alignment horizontal="center" vertical="top" wrapText="1"/>
    </xf>
    <xf numFmtId="0" fontId="1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6" fillId="0" borderId="0" xfId="0" applyFont="1"/>
    <xf numFmtId="0" fontId="16" fillId="3" borderId="0" xfId="0" applyFont="1" applyFill="1"/>
    <xf numFmtId="0" fontId="17" fillId="3" borderId="0" xfId="0" applyFont="1" applyFill="1"/>
    <xf numFmtId="0" fontId="18" fillId="3" borderId="0" xfId="0" applyFont="1" applyFill="1"/>
    <xf numFmtId="0" fontId="19" fillId="0" borderId="0" xfId="1" applyFont="1"/>
    <xf numFmtId="0" fontId="20" fillId="0" borderId="0" xfId="1"/>
    <xf numFmtId="0" fontId="21" fillId="0" borderId="36" xfId="1" applyFont="1" applyBorder="1"/>
    <xf numFmtId="0" fontId="22" fillId="0" borderId="0" xfId="1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164" fontId="26" fillId="2" borderId="2" xfId="0" applyNumberFormat="1" applyFont="1" applyFill="1" applyBorder="1" applyAlignment="1">
      <alignment horizontal="center" vertical="center"/>
    </xf>
    <xf numFmtId="0" fontId="26" fillId="2" borderId="3" xfId="0" applyFont="1" applyFill="1" applyBorder="1" applyAlignment="1">
      <alignment horizontal="center" vertical="center"/>
    </xf>
    <xf numFmtId="0" fontId="26" fillId="2" borderId="3" xfId="0" applyFont="1" applyFill="1" applyBorder="1" applyAlignment="1">
      <alignment horizontal="center" vertical="center" wrapText="1"/>
    </xf>
    <xf numFmtId="0" fontId="26" fillId="2" borderId="37" xfId="0" applyFont="1" applyFill="1" applyBorder="1" applyAlignment="1">
      <alignment horizontal="center" vertical="center"/>
    </xf>
    <xf numFmtId="0" fontId="25" fillId="7" borderId="36" xfId="1" applyFont="1" applyFill="1" applyBorder="1" applyAlignment="1">
      <alignment horizontal="center" vertical="center" wrapText="1"/>
    </xf>
    <xf numFmtId="165" fontId="8" fillId="8" borderId="28" xfId="0" applyNumberFormat="1" applyFont="1" applyFill="1" applyBorder="1" applyAlignment="1">
      <alignment horizontal="left" vertical="top" wrapText="1"/>
    </xf>
    <xf numFmtId="0" fontId="0" fillId="8" borderId="0" xfId="0" applyFill="1"/>
    <xf numFmtId="165" fontId="8" fillId="8" borderId="0" xfId="0" applyNumberFormat="1" applyFont="1" applyFill="1" applyAlignment="1">
      <alignment horizontal="left" vertical="top" wrapText="1"/>
    </xf>
    <xf numFmtId="165" fontId="8" fillId="8" borderId="26" xfId="0" applyNumberFormat="1" applyFont="1" applyFill="1" applyBorder="1" applyAlignment="1">
      <alignment horizontal="left" vertical="top" wrapText="1"/>
    </xf>
    <xf numFmtId="0" fontId="8" fillId="8" borderId="18" xfId="0" applyFont="1" applyFill="1" applyBorder="1" applyAlignment="1">
      <alignment horizontal="left" vertical="top" wrapText="1"/>
    </xf>
    <xf numFmtId="0" fontId="8" fillId="8" borderId="29" xfId="0" applyFont="1" applyFill="1" applyBorder="1" applyAlignment="1">
      <alignment horizontal="left" vertical="top" wrapText="1"/>
    </xf>
    <xf numFmtId="0" fontId="3" fillId="8" borderId="18" xfId="0" applyFont="1" applyFill="1" applyBorder="1" applyAlignment="1">
      <alignment vertical="top" wrapText="1"/>
    </xf>
    <xf numFmtId="0" fontId="32" fillId="0" borderId="0" xfId="0" applyFont="1"/>
    <xf numFmtId="0" fontId="9" fillId="3" borderId="0" xfId="0" applyFont="1" applyFill="1" applyAlignment="1">
      <alignment horizontal="center" wrapText="1"/>
    </xf>
    <xf numFmtId="0" fontId="9" fillId="3" borderId="10" xfId="0" applyFont="1" applyFill="1" applyBorder="1" applyAlignment="1">
      <alignment horizontal="center" wrapText="1"/>
    </xf>
    <xf numFmtId="0" fontId="8" fillId="0" borderId="15" xfId="0" applyFont="1" applyBorder="1" applyAlignment="1">
      <alignment horizontal="left" vertical="top" wrapText="1"/>
    </xf>
    <xf numFmtId="0" fontId="8" fillId="0" borderId="16" xfId="0" applyFont="1" applyBorder="1" applyAlignment="1">
      <alignment horizontal="left" vertical="top" wrapText="1"/>
    </xf>
    <xf numFmtId="0" fontId="11" fillId="6" borderId="15" xfId="3" applyFont="1" applyFill="1" applyBorder="1" applyAlignment="1">
      <alignment horizontal="center" vertical="center" wrapText="1"/>
    </xf>
    <xf numFmtId="0" fontId="11" fillId="6" borderId="16" xfId="3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left" vertical="top" wrapText="1"/>
    </xf>
    <xf numFmtId="0" fontId="11" fillId="0" borderId="16" xfId="0" applyFont="1" applyBorder="1" applyAlignment="1">
      <alignment horizontal="left" vertical="top" wrapText="1"/>
    </xf>
    <xf numFmtId="0" fontId="8" fillId="3" borderId="0" xfId="0" applyFont="1" applyFill="1" applyAlignment="1">
      <alignment horizontal="center" wrapText="1"/>
    </xf>
    <xf numFmtId="0" fontId="8" fillId="3" borderId="23" xfId="0" applyFont="1" applyFill="1" applyBorder="1" applyAlignment="1">
      <alignment horizontal="center"/>
    </xf>
    <xf numFmtId="0" fontId="10" fillId="5" borderId="16" xfId="0" applyFont="1" applyFill="1" applyBorder="1" applyAlignment="1">
      <alignment horizontal="left" vertical="center"/>
    </xf>
    <xf numFmtId="0" fontId="10" fillId="5" borderId="32" xfId="0" applyFont="1" applyFill="1" applyBorder="1" applyAlignment="1">
      <alignment horizontal="left" vertical="center"/>
    </xf>
    <xf numFmtId="0" fontId="11" fillId="6" borderId="15" xfId="3" applyFont="1" applyFill="1" applyBorder="1" applyAlignment="1">
      <alignment horizontal="left" vertical="center" wrapText="1"/>
    </xf>
    <xf numFmtId="0" fontId="11" fillId="6" borderId="16" xfId="3" applyFont="1" applyFill="1" applyBorder="1" applyAlignment="1">
      <alignment horizontal="left" vertical="center" wrapText="1"/>
    </xf>
    <xf numFmtId="0" fontId="11" fillId="6" borderId="32" xfId="3" applyFont="1" applyFill="1" applyBorder="1" applyAlignment="1">
      <alignment horizontal="left" vertical="center" wrapText="1"/>
    </xf>
    <xf numFmtId="0" fontId="4" fillId="4" borderId="25" xfId="3" applyFont="1" applyFill="1" applyBorder="1" applyAlignment="1">
      <alignment horizontal="center" vertical="center" wrapText="1"/>
    </xf>
    <xf numFmtId="0" fontId="4" fillId="4" borderId="18" xfId="3" applyFont="1" applyFill="1" applyBorder="1" applyAlignment="1">
      <alignment horizontal="center" vertical="center" wrapText="1"/>
    </xf>
    <xf numFmtId="0" fontId="4" fillId="4" borderId="25" xfId="3" applyFont="1" applyFill="1" applyBorder="1" applyAlignment="1">
      <alignment vertical="center" wrapText="1"/>
    </xf>
    <xf numFmtId="0" fontId="4" fillId="4" borderId="18" xfId="3" applyFont="1" applyFill="1" applyBorder="1" applyAlignment="1">
      <alignment vertical="center" wrapText="1"/>
    </xf>
    <xf numFmtId="0" fontId="4" fillId="4" borderId="28" xfId="3" applyFont="1" applyFill="1" applyBorder="1" applyAlignment="1">
      <alignment horizontal="center" vertical="center" wrapText="1"/>
    </xf>
    <xf numFmtId="0" fontId="4" fillId="4" borderId="29" xfId="3" applyFont="1" applyFill="1" applyBorder="1" applyAlignment="1">
      <alignment horizontal="center" vertical="center" wrapText="1"/>
    </xf>
    <xf numFmtId="0" fontId="4" fillId="4" borderId="26" xfId="3" applyFont="1" applyFill="1" applyBorder="1" applyAlignment="1">
      <alignment horizontal="center" vertical="center" wrapText="1"/>
    </xf>
    <xf numFmtId="0" fontId="4" fillId="4" borderId="0" xfId="3" applyFont="1" applyFill="1" applyAlignment="1">
      <alignment horizontal="center" vertical="center" wrapText="1"/>
    </xf>
    <xf numFmtId="0" fontId="4" fillId="4" borderId="27" xfId="3" applyFont="1" applyFill="1" applyBorder="1" applyAlignment="1">
      <alignment horizontal="center" vertical="center" wrapText="1"/>
    </xf>
    <xf numFmtId="0" fontId="4" fillId="4" borderId="30" xfId="3" applyFont="1" applyFill="1" applyBorder="1" applyAlignment="1">
      <alignment horizontal="center" vertical="center" wrapText="1"/>
    </xf>
    <xf numFmtId="0" fontId="4" fillId="4" borderId="24" xfId="3" applyFont="1" applyFill="1" applyBorder="1" applyAlignment="1">
      <alignment horizontal="center" vertical="center" wrapText="1"/>
    </xf>
    <xf numFmtId="0" fontId="4" fillId="4" borderId="31" xfId="3" applyFont="1" applyFill="1" applyBorder="1" applyAlignment="1">
      <alignment horizontal="center" vertical="center" wrapText="1"/>
    </xf>
    <xf numFmtId="0" fontId="3" fillId="3" borderId="12" xfId="3" applyFont="1" applyFill="1" applyBorder="1" applyAlignment="1">
      <alignment horizontal="left" wrapText="1"/>
    </xf>
    <xf numFmtId="0" fontId="3" fillId="3" borderId="13" xfId="3" applyFont="1" applyFill="1" applyBorder="1" applyAlignment="1">
      <alignment horizontal="left" wrapText="1"/>
    </xf>
    <xf numFmtId="0" fontId="3" fillId="3" borderId="15" xfId="3" applyFont="1" applyFill="1" applyBorder="1" applyAlignment="1">
      <alignment horizontal="left" vertical="top" wrapText="1"/>
    </xf>
    <xf numFmtId="0" fontId="3" fillId="3" borderId="16" xfId="3" applyFont="1" applyFill="1" applyBorder="1" applyAlignment="1">
      <alignment horizontal="left" vertical="top" wrapText="1"/>
    </xf>
    <xf numFmtId="0" fontId="3" fillId="3" borderId="17" xfId="3" applyFont="1" applyFill="1" applyBorder="1" applyAlignment="1">
      <alignment horizontal="left" vertical="top" wrapText="1"/>
    </xf>
    <xf numFmtId="0" fontId="3" fillId="3" borderId="15" xfId="3" applyFont="1" applyFill="1" applyBorder="1" applyAlignment="1">
      <alignment horizontal="left" vertical="center" wrapText="1"/>
    </xf>
    <xf numFmtId="0" fontId="3" fillId="3" borderId="16" xfId="3" applyFont="1" applyFill="1" applyBorder="1" applyAlignment="1">
      <alignment horizontal="left" vertical="center" wrapText="1"/>
    </xf>
    <xf numFmtId="0" fontId="3" fillId="3" borderId="17" xfId="3" applyFont="1" applyFill="1" applyBorder="1" applyAlignment="1">
      <alignment horizontal="left" vertical="center" wrapText="1"/>
    </xf>
    <xf numFmtId="0" fontId="8" fillId="3" borderId="0" xfId="0" applyFont="1" applyFill="1" applyAlignment="1">
      <alignment horizontal="center" vertical="center" wrapText="1"/>
    </xf>
    <xf numFmtId="0" fontId="8" fillId="0" borderId="32" xfId="0" applyFont="1" applyBorder="1" applyAlignment="1">
      <alignment horizontal="left" vertical="top" wrapText="1"/>
    </xf>
    <xf numFmtId="0" fontId="13" fillId="0" borderId="15" xfId="0" applyFont="1" applyBorder="1" applyAlignment="1">
      <alignment horizontal="left" vertical="top" wrapText="1"/>
    </xf>
    <xf numFmtId="0" fontId="13" fillId="0" borderId="15" xfId="3" applyFont="1" applyBorder="1" applyAlignment="1">
      <alignment horizontal="left" vertical="top" wrapText="1"/>
    </xf>
    <xf numFmtId="0" fontId="11" fillId="0" borderId="16" xfId="3" applyFont="1" applyBorder="1" applyAlignment="1">
      <alignment horizontal="left" vertical="top" wrapText="1"/>
    </xf>
    <xf numFmtId="0" fontId="11" fillId="0" borderId="32" xfId="3" applyFont="1" applyBorder="1" applyAlignment="1">
      <alignment horizontal="left" vertical="top" wrapText="1"/>
    </xf>
    <xf numFmtId="0" fontId="13" fillId="0" borderId="16" xfId="0" applyFont="1" applyBorder="1" applyAlignment="1">
      <alignment horizontal="left" vertical="top" wrapText="1"/>
    </xf>
    <xf numFmtId="0" fontId="13" fillId="0" borderId="32" xfId="0" applyFont="1" applyBorder="1" applyAlignment="1">
      <alignment horizontal="left" vertical="top" wrapText="1"/>
    </xf>
    <xf numFmtId="0" fontId="3" fillId="0" borderId="15" xfId="0" applyFont="1" applyBorder="1" applyAlignment="1">
      <alignment horizontal="left" vertical="top" wrapText="1"/>
    </xf>
    <xf numFmtId="0" fontId="3" fillId="0" borderId="16" xfId="0" applyFont="1" applyBorder="1" applyAlignment="1">
      <alignment horizontal="left" vertical="top" wrapText="1"/>
    </xf>
    <xf numFmtId="0" fontId="8" fillId="0" borderId="33" xfId="0" applyFont="1" applyBorder="1" applyAlignment="1">
      <alignment horizontal="left" vertical="top" wrapText="1"/>
    </xf>
    <xf numFmtId="0" fontId="8" fillId="0" borderId="34" xfId="0" applyFont="1" applyBorder="1" applyAlignment="1">
      <alignment horizontal="left" vertical="top" wrapText="1"/>
    </xf>
    <xf numFmtId="0" fontId="33" fillId="7" borderId="36" xfId="0" applyFont="1" applyFill="1" applyBorder="1" applyAlignment="1">
      <alignment horizontal="center" vertical="center" wrapText="1"/>
    </xf>
    <xf numFmtId="0" fontId="25" fillId="7" borderId="38" xfId="1" applyFont="1" applyFill="1" applyBorder="1" applyAlignment="1">
      <alignment horizontal="center" vertical="center" wrapText="1"/>
    </xf>
    <xf numFmtId="0" fontId="33" fillId="7" borderId="38" xfId="0" applyFont="1" applyFill="1" applyBorder="1" applyAlignment="1">
      <alignment horizontal="center" vertical="center" wrapText="1"/>
    </xf>
    <xf numFmtId="0" fontId="33" fillId="0" borderId="18" xfId="0" applyFont="1" applyBorder="1" applyAlignment="1">
      <alignment horizontal="center" vertical="center" wrapText="1"/>
    </xf>
  </cellXfs>
  <cellStyles count="5">
    <cellStyle name="Normal" xfId="0" builtinId="0"/>
    <cellStyle name="Normal 2" xfId="1" xr:uid="{00000000-0005-0000-0000-000031000000}"/>
    <cellStyle name="Normal_Functional Test Case v1.0" xfId="2" xr:uid="{00000000-0005-0000-0000-000032000000}"/>
    <cellStyle name="Normal_Sheet1_Vanco_CR022a1_TestCase_v0.1" xfId="3" xr:uid="{00000000-0005-0000-0000-000033000000}"/>
    <cellStyle name="標準_結合試験(AllOvertheWorld)" xfId="4" xr:uid="{00000000-0005-0000-0000-000034000000}"/>
  </cellStyles>
  <dxfs count="0"/>
  <tableStyles count="1" defaultTableStyle="TableStyleMedium9" defaultPivotStyle="PivotStyleLight16">
    <tableStyle name="Table Style 1" pivot="0" count="0" xr9:uid="{F7E00C52-7677-4CF7-8502-45BEFC62BBA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sdc-nt2/osdc/Documents%20and%20Settings/ThoanCT/My%20Documents/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28"/>
  <sheetViews>
    <sheetView showGridLines="0" tabSelected="1" topLeftCell="A13" zoomScale="54" zoomScaleNormal="58" workbookViewId="0">
      <selection activeCell="H28" sqref="H28"/>
    </sheetView>
  </sheetViews>
  <sheetFormatPr defaultColWidth="9" defaultRowHeight="13.8"/>
  <cols>
    <col min="1" max="1" width="9" style="88"/>
    <col min="2" max="2" width="29.77734375" style="88" customWidth="1"/>
    <col min="3" max="3" width="23.109375" style="88" customWidth="1"/>
    <col min="4" max="4" width="18.44140625" style="88" customWidth="1"/>
    <col min="5" max="5" width="52" style="88" customWidth="1"/>
    <col min="6" max="6" width="34.109375" style="88" customWidth="1"/>
    <col min="7" max="7" width="25.44140625" style="88" customWidth="1"/>
    <col min="8" max="8" width="61.77734375" style="88" customWidth="1"/>
    <col min="9" max="16384" width="9" style="88"/>
  </cols>
  <sheetData>
    <row r="2" spans="1:9" ht="24.6">
      <c r="A2" s="89"/>
      <c r="B2" s="90" t="s">
        <v>0</v>
      </c>
      <c r="C2" s="89"/>
      <c r="D2" s="89"/>
      <c r="E2" s="89"/>
      <c r="F2" s="89"/>
      <c r="G2" s="89"/>
    </row>
    <row r="3" spans="1:9" ht="16.8">
      <c r="A3" s="89"/>
      <c r="B3" s="91" t="s">
        <v>1</v>
      </c>
      <c r="C3" s="92" t="s">
        <v>2</v>
      </c>
      <c r="D3" s="93"/>
      <c r="E3" s="93"/>
      <c r="F3" s="93"/>
      <c r="G3" s="93"/>
      <c r="H3" s="93"/>
      <c r="I3" s="93"/>
    </row>
    <row r="4" spans="1:9" ht="16.8">
      <c r="A4" s="89"/>
      <c r="B4" s="91" t="s">
        <v>3</v>
      </c>
      <c r="C4" s="92" t="s">
        <v>4</v>
      </c>
      <c r="D4" s="93"/>
      <c r="E4" s="93"/>
      <c r="F4" s="93"/>
      <c r="G4" s="93"/>
      <c r="H4" s="93"/>
      <c r="I4" s="93"/>
    </row>
    <row r="5" spans="1:9" ht="16.8">
      <c r="A5" s="89"/>
      <c r="B5" s="91"/>
      <c r="C5" s="93"/>
      <c r="D5" s="93"/>
      <c r="E5" s="93"/>
      <c r="F5" s="93"/>
      <c r="G5" s="93"/>
      <c r="H5" s="93"/>
      <c r="I5" s="93"/>
    </row>
    <row r="6" spans="1:9" ht="14.25" customHeight="1">
      <c r="A6" s="89"/>
      <c r="B6" s="91" t="s">
        <v>5</v>
      </c>
      <c r="C6" s="94" t="s">
        <v>6</v>
      </c>
      <c r="D6" s="93"/>
      <c r="E6" s="95"/>
      <c r="F6" s="93"/>
      <c r="G6" s="93"/>
      <c r="H6" s="93"/>
      <c r="I6" s="93"/>
    </row>
    <row r="7" spans="1:9" ht="13.95" customHeight="1">
      <c r="A7" s="89"/>
      <c r="B7" s="91" t="s">
        <v>7</v>
      </c>
      <c r="C7" s="94" t="s">
        <v>8</v>
      </c>
      <c r="D7" s="93"/>
      <c r="E7" s="93"/>
      <c r="F7" s="93"/>
      <c r="G7" s="93"/>
      <c r="H7" s="93"/>
      <c r="I7" s="93"/>
    </row>
    <row r="8" spans="1:9" ht="16.8">
      <c r="A8" s="89"/>
      <c r="B8" s="91"/>
      <c r="C8" s="89"/>
      <c r="D8" s="89"/>
      <c r="E8" s="89"/>
      <c r="F8" s="89"/>
      <c r="G8" s="89"/>
    </row>
    <row r="9" spans="1:9" ht="16.8">
      <c r="A9" s="89"/>
      <c r="B9" s="96"/>
      <c r="C9" s="6"/>
      <c r="D9" s="6"/>
      <c r="E9" s="6"/>
      <c r="F9" s="89"/>
      <c r="G9" s="89"/>
    </row>
    <row r="10" spans="1:9" ht="16.8">
      <c r="B10" s="97" t="s">
        <v>9</v>
      </c>
      <c r="C10" s="98"/>
      <c r="D10" s="98"/>
      <c r="E10" s="98"/>
      <c r="F10" s="98"/>
      <c r="G10" s="98"/>
      <c r="H10" s="98"/>
    </row>
    <row r="11" spans="1:9" s="86" customFormat="1" ht="50.4">
      <c r="B11" s="99" t="s">
        <v>10</v>
      </c>
      <c r="C11" s="100" t="s">
        <v>11</v>
      </c>
      <c r="D11" s="100" t="s">
        <v>12</v>
      </c>
      <c r="E11" s="100" t="s">
        <v>13</v>
      </c>
      <c r="F11" s="100" t="s">
        <v>14</v>
      </c>
      <c r="G11" s="101" t="s">
        <v>15</v>
      </c>
      <c r="H11" s="102" t="s">
        <v>16</v>
      </c>
    </row>
    <row r="12" spans="1:9" s="86" customFormat="1" ht="49.95" customHeight="1">
      <c r="B12" s="103" t="s">
        <v>17</v>
      </c>
      <c r="C12" s="103" t="s">
        <v>18</v>
      </c>
      <c r="D12" s="103"/>
      <c r="E12" s="103" t="s">
        <v>19</v>
      </c>
      <c r="F12" s="103" t="s">
        <v>210</v>
      </c>
      <c r="G12" s="103"/>
      <c r="H12" s="159" t="s">
        <v>195</v>
      </c>
    </row>
    <row r="13" spans="1:9" s="86" customFormat="1" ht="49.95" customHeight="1">
      <c r="B13" s="103" t="s">
        <v>20</v>
      </c>
      <c r="C13" s="103" t="s">
        <v>21</v>
      </c>
      <c r="D13" s="103" t="s">
        <v>22</v>
      </c>
      <c r="E13" s="103" t="s">
        <v>23</v>
      </c>
      <c r="F13" s="103" t="s">
        <v>210</v>
      </c>
      <c r="G13" s="103"/>
      <c r="H13" s="159" t="s">
        <v>196</v>
      </c>
    </row>
    <row r="14" spans="1:9" s="87" customFormat="1" ht="49.95" customHeight="1">
      <c r="B14" s="103" t="s">
        <v>24</v>
      </c>
      <c r="C14" s="103" t="s">
        <v>21</v>
      </c>
      <c r="D14" s="103" t="s">
        <v>25</v>
      </c>
      <c r="E14" s="103" t="s">
        <v>26</v>
      </c>
      <c r="F14" s="103" t="s">
        <v>210</v>
      </c>
      <c r="G14" s="103"/>
      <c r="H14" s="159" t="s">
        <v>197</v>
      </c>
    </row>
    <row r="15" spans="1:9" s="87" customFormat="1" ht="49.95" customHeight="1">
      <c r="B15" s="103" t="s">
        <v>27</v>
      </c>
      <c r="C15" s="103" t="s">
        <v>28</v>
      </c>
      <c r="D15" s="103" t="s">
        <v>29</v>
      </c>
      <c r="E15" s="103" t="s">
        <v>30</v>
      </c>
      <c r="F15" s="103" t="s">
        <v>212</v>
      </c>
      <c r="G15" s="103"/>
      <c r="H15" s="159" t="s">
        <v>198</v>
      </c>
    </row>
    <row r="16" spans="1:9" s="86" customFormat="1" ht="49.95" customHeight="1">
      <c r="B16" s="103" t="s">
        <v>31</v>
      </c>
      <c r="C16" s="103" t="s">
        <v>28</v>
      </c>
      <c r="D16" s="103" t="s">
        <v>32</v>
      </c>
      <c r="E16" s="103" t="s">
        <v>33</v>
      </c>
      <c r="F16" s="103" t="s">
        <v>213</v>
      </c>
      <c r="G16" s="103" t="s">
        <v>210</v>
      </c>
      <c r="H16" s="159" t="s">
        <v>199</v>
      </c>
    </row>
    <row r="17" spans="2:8" s="86" customFormat="1" ht="49.95" customHeight="1">
      <c r="B17" s="103" t="s">
        <v>34</v>
      </c>
      <c r="C17" s="103" t="s">
        <v>28</v>
      </c>
      <c r="D17" s="103" t="s">
        <v>35</v>
      </c>
      <c r="E17" s="103" t="s">
        <v>36</v>
      </c>
      <c r="F17" s="103" t="s">
        <v>210</v>
      </c>
      <c r="G17" s="103"/>
      <c r="H17" s="159" t="s">
        <v>200</v>
      </c>
    </row>
    <row r="18" spans="2:8" s="86" customFormat="1" ht="49.95" customHeight="1">
      <c r="B18" s="103" t="s">
        <v>37</v>
      </c>
      <c r="C18" s="103" t="s">
        <v>38</v>
      </c>
      <c r="D18" s="103" t="s">
        <v>39</v>
      </c>
      <c r="E18" s="103" t="s">
        <v>40</v>
      </c>
      <c r="F18" s="103" t="s">
        <v>211</v>
      </c>
      <c r="G18" s="103" t="s">
        <v>210</v>
      </c>
      <c r="H18" s="159" t="s">
        <v>201</v>
      </c>
    </row>
    <row r="19" spans="2:8" s="86" customFormat="1" ht="49.95" customHeight="1">
      <c r="B19" s="103" t="s">
        <v>37</v>
      </c>
      <c r="C19" s="103" t="s">
        <v>38</v>
      </c>
      <c r="D19" s="103" t="s">
        <v>41</v>
      </c>
      <c r="E19" s="103" t="s">
        <v>42</v>
      </c>
      <c r="F19" s="103" t="s">
        <v>213</v>
      </c>
      <c r="G19" s="103" t="s">
        <v>210</v>
      </c>
      <c r="H19" s="159" t="s">
        <v>202</v>
      </c>
    </row>
    <row r="20" spans="2:8" s="86" customFormat="1" ht="49.95" customHeight="1">
      <c r="B20" s="103" t="s">
        <v>43</v>
      </c>
      <c r="C20" s="103" t="s">
        <v>38</v>
      </c>
      <c r="D20" s="103" t="s">
        <v>44</v>
      </c>
      <c r="E20" s="103" t="s">
        <v>45</v>
      </c>
      <c r="F20" s="103" t="s">
        <v>210</v>
      </c>
      <c r="G20" s="103"/>
      <c r="H20" s="159" t="s">
        <v>203</v>
      </c>
    </row>
    <row r="21" spans="2:8" s="86" customFormat="1" ht="49.95" customHeight="1">
      <c r="B21" s="103" t="s">
        <v>46</v>
      </c>
      <c r="C21" s="103" t="s">
        <v>38</v>
      </c>
      <c r="D21" s="103" t="s">
        <v>47</v>
      </c>
      <c r="E21" s="103" t="s">
        <v>48</v>
      </c>
      <c r="F21" s="103" t="s">
        <v>210</v>
      </c>
      <c r="G21" s="103"/>
      <c r="H21" s="159" t="s">
        <v>204</v>
      </c>
    </row>
    <row r="22" spans="2:8" s="86" customFormat="1" ht="49.95" customHeight="1">
      <c r="B22" s="103" t="s">
        <v>46</v>
      </c>
      <c r="C22" s="103" t="s">
        <v>2</v>
      </c>
      <c r="D22" s="103" t="s">
        <v>49</v>
      </c>
      <c r="E22" s="103" t="s">
        <v>50</v>
      </c>
      <c r="F22" s="103" t="s">
        <v>213</v>
      </c>
      <c r="G22" s="103" t="s">
        <v>210</v>
      </c>
      <c r="H22" s="159" t="s">
        <v>205</v>
      </c>
    </row>
    <row r="23" spans="2:8" s="86" customFormat="1" ht="49.95" customHeight="1">
      <c r="B23" s="103" t="s">
        <v>51</v>
      </c>
      <c r="C23" s="103" t="s">
        <v>2</v>
      </c>
      <c r="D23" s="103" t="s">
        <v>39</v>
      </c>
      <c r="E23" s="103" t="s">
        <v>52</v>
      </c>
      <c r="F23" s="103" t="s">
        <v>210</v>
      </c>
      <c r="G23" s="103"/>
      <c r="H23" s="159" t="s">
        <v>206</v>
      </c>
    </row>
    <row r="24" spans="2:8" ht="49.95" customHeight="1">
      <c r="B24" s="103" t="s">
        <v>51</v>
      </c>
      <c r="C24" s="103" t="s">
        <v>2</v>
      </c>
      <c r="D24" s="103" t="s">
        <v>53</v>
      </c>
      <c r="E24" s="103" t="s">
        <v>54</v>
      </c>
      <c r="F24" s="103" t="s">
        <v>211</v>
      </c>
      <c r="G24" s="103" t="s">
        <v>210</v>
      </c>
      <c r="H24" s="159" t="s">
        <v>207</v>
      </c>
    </row>
    <row r="25" spans="2:8" ht="49.95" customHeight="1">
      <c r="B25" s="103" t="s">
        <v>51</v>
      </c>
      <c r="C25" s="103" t="s">
        <v>2</v>
      </c>
      <c r="D25" s="103" t="s">
        <v>44</v>
      </c>
      <c r="E25" s="103" t="s">
        <v>55</v>
      </c>
      <c r="F25" s="103" t="s">
        <v>213</v>
      </c>
      <c r="G25" s="103" t="s">
        <v>210</v>
      </c>
      <c r="H25" s="159" t="s">
        <v>208</v>
      </c>
    </row>
    <row r="26" spans="2:8" ht="49.95" customHeight="1">
      <c r="B26" s="160" t="s">
        <v>56</v>
      </c>
      <c r="C26" s="160" t="s">
        <v>2</v>
      </c>
      <c r="D26" s="160" t="s">
        <v>57</v>
      </c>
      <c r="E26" s="160" t="s">
        <v>58</v>
      </c>
      <c r="F26" s="160" t="s">
        <v>210</v>
      </c>
      <c r="G26" s="160" t="s">
        <v>210</v>
      </c>
      <c r="H26" s="161" t="s">
        <v>209</v>
      </c>
    </row>
    <row r="27" spans="2:8" ht="44.4" customHeight="1">
      <c r="B27" s="162" t="s">
        <v>215</v>
      </c>
      <c r="C27" s="162">
        <v>1.4</v>
      </c>
      <c r="D27" s="162" t="s">
        <v>216</v>
      </c>
      <c r="E27" s="162" t="s">
        <v>217</v>
      </c>
      <c r="F27" s="162" t="s">
        <v>214</v>
      </c>
      <c r="G27" s="162" t="s">
        <v>210</v>
      </c>
      <c r="H27" s="162" t="s">
        <v>221</v>
      </c>
    </row>
    <row r="28" spans="2:8" ht="39" customHeight="1">
      <c r="B28" s="162" t="s">
        <v>218</v>
      </c>
      <c r="C28" s="162">
        <v>1.4</v>
      </c>
      <c r="D28" s="162" t="s">
        <v>219</v>
      </c>
      <c r="E28" s="162" t="s">
        <v>220</v>
      </c>
      <c r="F28" s="162" t="s">
        <v>210</v>
      </c>
      <c r="G28" s="162" t="s">
        <v>210</v>
      </c>
      <c r="H28" s="162" t="s">
        <v>222</v>
      </c>
    </row>
  </sheetData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55"/>
  <sheetViews>
    <sheetView zoomScale="72" workbookViewId="0">
      <selection activeCell="F16" sqref="F16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9" style="6"/>
    <col min="11" max="11" width="18" customWidth="1"/>
  </cols>
  <sheetData>
    <row r="1" spans="1:12" s="75" customFormat="1" ht="12.75" customHeight="1">
      <c r="A1" s="30" t="s">
        <v>0</v>
      </c>
      <c r="B1" s="112"/>
      <c r="C1" s="112"/>
      <c r="D1" s="112"/>
      <c r="E1" s="31"/>
      <c r="F1" s="31"/>
      <c r="G1" s="31"/>
      <c r="H1" s="31"/>
      <c r="I1" s="31"/>
      <c r="J1" s="32"/>
      <c r="K1" s="31"/>
      <c r="L1" s="33"/>
    </row>
    <row r="2" spans="1:12" s="75" customFormat="1" ht="11.25" customHeight="1">
      <c r="A2" s="33"/>
      <c r="B2" s="113"/>
      <c r="C2" s="113"/>
      <c r="D2" s="113"/>
      <c r="E2" s="31"/>
      <c r="F2" s="31"/>
      <c r="G2" s="31"/>
      <c r="H2" s="31"/>
      <c r="I2" s="31"/>
      <c r="J2" s="32"/>
      <c r="K2" s="31"/>
      <c r="L2" s="33"/>
    </row>
    <row r="3" spans="1:12" s="76" customFormat="1" ht="15" customHeight="1">
      <c r="A3" s="71" t="s">
        <v>59</v>
      </c>
      <c r="B3" s="139" t="s">
        <v>60</v>
      </c>
      <c r="C3" s="139"/>
      <c r="D3" s="140"/>
      <c r="E3" s="35"/>
      <c r="F3" s="35"/>
      <c r="G3" s="35"/>
      <c r="H3" s="35"/>
      <c r="I3" s="120"/>
      <c r="J3" s="120"/>
      <c r="K3" s="120"/>
      <c r="L3" s="81"/>
    </row>
    <row r="4" spans="1:12" s="76" customFormat="1" ht="13.2">
      <c r="A4" s="37" t="s">
        <v>61</v>
      </c>
      <c r="B4" s="141" t="s">
        <v>62</v>
      </c>
      <c r="C4" s="142"/>
      <c r="D4" s="143"/>
      <c r="E4" s="35"/>
      <c r="F4" s="35"/>
      <c r="G4" s="35"/>
      <c r="H4" s="35"/>
      <c r="I4" s="120"/>
      <c r="J4" s="120"/>
      <c r="K4" s="120"/>
      <c r="L4" s="81"/>
    </row>
    <row r="5" spans="1:12" s="77" customFormat="1" ht="26.4">
      <c r="A5" s="37" t="s">
        <v>63</v>
      </c>
      <c r="B5" s="144" t="s">
        <v>64</v>
      </c>
      <c r="C5" s="145"/>
      <c r="D5" s="146"/>
      <c r="E5" s="39"/>
      <c r="F5" s="39"/>
      <c r="G5" s="39"/>
      <c r="H5" s="39"/>
      <c r="I5" s="147"/>
      <c r="J5" s="147"/>
      <c r="K5" s="147"/>
      <c r="L5" s="82"/>
    </row>
    <row r="6" spans="1:12" s="76" customFormat="1" ht="15" customHeight="1">
      <c r="A6" s="40" t="s">
        <v>65</v>
      </c>
      <c r="B6" s="41">
        <f>COUNTIF(J12:J17,"Pass")</f>
        <v>3</v>
      </c>
      <c r="C6" s="42" t="s">
        <v>66</v>
      </c>
      <c r="D6" s="43">
        <f>COUNTIF(J10:J736,"Pending")</f>
        <v>0</v>
      </c>
      <c r="E6" s="36"/>
      <c r="F6" s="36"/>
      <c r="G6" s="36"/>
      <c r="H6" s="36"/>
      <c r="I6" s="120"/>
      <c r="J6" s="120"/>
      <c r="K6" s="120"/>
      <c r="L6" s="81"/>
    </row>
    <row r="7" spans="1:12" s="76" customFormat="1" ht="15" customHeight="1">
      <c r="A7" s="44" t="s">
        <v>67</v>
      </c>
      <c r="B7" s="45">
        <f>COUNTIF(J12:J17,"Fail")</f>
        <v>0</v>
      </c>
      <c r="C7" s="46" t="s">
        <v>68</v>
      </c>
      <c r="D7" s="47">
        <f>COUNTA(A12:A17)-15</f>
        <v>-9</v>
      </c>
      <c r="E7" s="48"/>
      <c r="F7" s="48"/>
      <c r="G7" s="48"/>
      <c r="H7" s="48"/>
      <c r="I7" s="120"/>
      <c r="J7" s="120"/>
      <c r="K7" s="120"/>
      <c r="L7" s="81"/>
    </row>
    <row r="8" spans="1:12" s="76" customFormat="1" ht="15" customHeight="1">
      <c r="A8" s="121"/>
      <c r="B8" s="121"/>
      <c r="C8" s="121"/>
      <c r="D8" s="121"/>
      <c r="E8" s="36"/>
      <c r="F8" s="36"/>
      <c r="G8" s="36"/>
      <c r="H8" s="36"/>
      <c r="I8" s="36"/>
      <c r="J8" s="49"/>
      <c r="K8" s="49"/>
      <c r="L8" s="81"/>
    </row>
    <row r="9" spans="1:12" s="78" customFormat="1" ht="12" customHeight="1">
      <c r="A9" s="127" t="s">
        <v>69</v>
      </c>
      <c r="B9" s="129" t="s">
        <v>70</v>
      </c>
      <c r="C9" s="127" t="s">
        <v>71</v>
      </c>
      <c r="D9" s="133" t="s">
        <v>72</v>
      </c>
      <c r="E9" s="134"/>
      <c r="F9" s="134"/>
      <c r="G9" s="135"/>
      <c r="H9" s="131" t="s">
        <v>73</v>
      </c>
      <c r="I9" s="132" t="s">
        <v>74</v>
      </c>
      <c r="J9" s="132" t="s">
        <v>75</v>
      </c>
      <c r="K9" s="132" t="s">
        <v>76</v>
      </c>
      <c r="L9" s="83"/>
    </row>
    <row r="10" spans="1:12" s="76" customFormat="1" ht="12" customHeight="1">
      <c r="A10" s="128"/>
      <c r="B10" s="130"/>
      <c r="C10" s="128"/>
      <c r="D10" s="136"/>
      <c r="E10" s="137"/>
      <c r="F10" s="137"/>
      <c r="G10" s="138"/>
      <c r="H10" s="127"/>
      <c r="I10" s="127"/>
      <c r="J10" s="127"/>
      <c r="K10" s="127"/>
      <c r="L10" s="81"/>
    </row>
    <row r="11" spans="1:12" s="79" customFormat="1" ht="15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3"/>
    </row>
    <row r="12" spans="1:12" s="80" customFormat="1" ht="13.2">
      <c r="A12" s="124" t="s">
        <v>77</v>
      </c>
      <c r="B12" s="125"/>
      <c r="C12" s="125"/>
      <c r="D12" s="125"/>
      <c r="E12" s="125"/>
      <c r="F12" s="125"/>
      <c r="G12" s="125"/>
      <c r="H12" s="125"/>
      <c r="I12" s="125"/>
      <c r="J12" s="125"/>
      <c r="K12" s="126"/>
    </row>
    <row r="13" spans="1:12" s="80" customFormat="1" ht="79.2" outlineLevel="1">
      <c r="A13" s="52" t="s">
        <v>78</v>
      </c>
      <c r="B13" s="53" t="s">
        <v>79</v>
      </c>
      <c r="C13" s="54" t="s">
        <v>80</v>
      </c>
      <c r="D13" s="114" t="s">
        <v>81</v>
      </c>
      <c r="E13" s="115"/>
      <c r="F13" s="115"/>
      <c r="G13" s="59"/>
      <c r="H13" s="56"/>
      <c r="I13" s="57"/>
      <c r="J13" s="54" t="s">
        <v>65</v>
      </c>
      <c r="K13" s="54"/>
    </row>
    <row r="14" spans="1:12" s="80" customFormat="1" ht="13.2" outlineLevel="1">
      <c r="A14" s="116" t="s">
        <v>82</v>
      </c>
      <c r="B14" s="117"/>
      <c r="C14" s="117"/>
      <c r="D14" s="50"/>
      <c r="E14" s="50"/>
      <c r="F14" s="50"/>
      <c r="G14" s="50"/>
      <c r="H14" s="50"/>
      <c r="I14" s="50"/>
      <c r="J14" s="50"/>
      <c r="K14" s="51"/>
    </row>
    <row r="15" spans="1:12" s="80" customFormat="1" ht="63.75" customHeight="1" outlineLevel="1">
      <c r="A15" s="52" t="s">
        <v>83</v>
      </c>
      <c r="B15" s="84" t="s">
        <v>84</v>
      </c>
      <c r="C15" s="63" t="s">
        <v>85</v>
      </c>
      <c r="D15" s="118" t="s">
        <v>86</v>
      </c>
      <c r="E15" s="115"/>
      <c r="F15" s="115"/>
      <c r="G15" s="59"/>
      <c r="H15" s="56"/>
      <c r="I15" s="58"/>
      <c r="J15" s="54" t="s">
        <v>65</v>
      </c>
      <c r="K15" s="54"/>
    </row>
    <row r="16" spans="1:12" s="80" customFormat="1" ht="13.2" outlineLevel="1">
      <c r="A16" s="116" t="s">
        <v>87</v>
      </c>
      <c r="B16" s="117"/>
      <c r="C16" s="117"/>
      <c r="D16" s="50"/>
      <c r="E16" s="50"/>
      <c r="F16" s="50"/>
      <c r="G16" s="50"/>
      <c r="H16" s="50"/>
      <c r="I16" s="50"/>
      <c r="J16" s="50"/>
      <c r="K16" s="51"/>
    </row>
    <row r="17" spans="1:11" s="80" customFormat="1" ht="63.75" customHeight="1" outlineLevel="1">
      <c r="A17" s="52" t="s">
        <v>88</v>
      </c>
      <c r="B17" s="85" t="s">
        <v>84</v>
      </c>
      <c r="C17" s="54" t="s">
        <v>89</v>
      </c>
      <c r="D17" s="118" t="s">
        <v>90</v>
      </c>
      <c r="E17" s="119"/>
      <c r="F17" s="119"/>
      <c r="G17" s="59"/>
      <c r="H17" s="56"/>
      <c r="I17" s="58"/>
      <c r="J17" s="54" t="s">
        <v>65</v>
      </c>
      <c r="K17" s="54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I3:K3"/>
    <mergeCell ref="B4:D4"/>
    <mergeCell ref="I4:K4"/>
    <mergeCell ref="B5:D5"/>
    <mergeCell ref="I5:K5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1:D2"/>
    <mergeCell ref="D13:F13"/>
    <mergeCell ref="A14:C14"/>
    <mergeCell ref="D15:F15"/>
    <mergeCell ref="A16:C16"/>
    <mergeCell ref="B3:D3"/>
  </mergeCells>
  <pageMargins left="0.75" right="0.75" top="1" bottom="1" header="0.5" footer="0.5"/>
  <pageSetup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6"/>
  <sheetViews>
    <sheetView topLeftCell="A23" zoomScale="53" workbookViewId="0">
      <selection activeCell="C27" sqref="C27"/>
    </sheetView>
  </sheetViews>
  <sheetFormatPr defaultColWidth="8.88671875" defaultRowHeight="13.2"/>
  <cols>
    <col min="1" max="1" width="22.5546875" customWidth="1"/>
    <col min="2" max="2" width="18" customWidth="1"/>
    <col min="3" max="3" width="32.44140625" customWidth="1"/>
  </cols>
  <sheetData>
    <row r="1" spans="1:11" ht="13.8">
      <c r="A1" s="30" t="s">
        <v>0</v>
      </c>
      <c r="B1" s="69" t="s">
        <v>91</v>
      </c>
      <c r="C1" s="69"/>
      <c r="D1" s="69"/>
      <c r="E1" s="31"/>
      <c r="F1" s="31"/>
      <c r="G1" s="31"/>
      <c r="H1" s="31"/>
      <c r="I1" s="31"/>
      <c r="J1" s="32"/>
      <c r="K1" s="31"/>
    </row>
    <row r="2" spans="1:11" ht="13.8">
      <c r="A2" s="33"/>
      <c r="B2" s="70"/>
      <c r="C2" s="70"/>
      <c r="D2" s="70"/>
      <c r="E2" s="31"/>
      <c r="F2" s="31"/>
      <c r="G2" s="31"/>
      <c r="H2" s="31"/>
      <c r="I2" s="31"/>
      <c r="J2" s="32"/>
      <c r="K2" s="31"/>
    </row>
    <row r="3" spans="1:11" ht="13.8">
      <c r="A3" s="71" t="s">
        <v>59</v>
      </c>
      <c r="B3" s="139" t="s">
        <v>92</v>
      </c>
      <c r="C3" s="139"/>
      <c r="D3" s="140"/>
      <c r="E3" s="35"/>
      <c r="F3" s="35"/>
      <c r="G3" s="35"/>
      <c r="H3" s="35"/>
      <c r="I3" s="120"/>
      <c r="J3" s="120"/>
      <c r="K3" s="120"/>
    </row>
    <row r="4" spans="1:11" ht="13.8">
      <c r="A4" s="37" t="s">
        <v>61</v>
      </c>
      <c r="B4" s="141" t="s">
        <v>93</v>
      </c>
      <c r="C4" s="142"/>
      <c r="D4" s="143"/>
      <c r="E4" s="35"/>
      <c r="F4" s="35"/>
      <c r="G4" s="35"/>
      <c r="H4" s="35"/>
      <c r="I4" s="120"/>
      <c r="J4" s="120"/>
      <c r="K4" s="120"/>
    </row>
    <row r="5" spans="1:11">
      <c r="A5" s="37" t="s">
        <v>63</v>
      </c>
      <c r="B5" s="144" t="s">
        <v>64</v>
      </c>
      <c r="C5" s="145"/>
      <c r="D5" s="146"/>
      <c r="E5" s="39"/>
      <c r="F5" s="39"/>
      <c r="G5" s="39"/>
      <c r="H5" s="39"/>
      <c r="I5" s="147"/>
      <c r="J5" s="147"/>
      <c r="K5" s="147"/>
    </row>
    <row r="6" spans="1:11" ht="13.8">
      <c r="A6" s="40" t="s">
        <v>65</v>
      </c>
      <c r="B6" s="41">
        <v>0</v>
      </c>
      <c r="C6" s="42" t="s">
        <v>66</v>
      </c>
      <c r="D6" s="43">
        <v>5</v>
      </c>
      <c r="E6" s="36"/>
      <c r="F6" s="36"/>
      <c r="G6" s="36"/>
      <c r="H6" s="36"/>
      <c r="I6" s="120"/>
      <c r="J6" s="120"/>
      <c r="K6" s="120"/>
    </row>
    <row r="7" spans="1:11" ht="13.8">
      <c r="A7" s="44" t="s">
        <v>67</v>
      </c>
      <c r="B7" s="45">
        <v>0</v>
      </c>
      <c r="C7" s="46" t="s">
        <v>68</v>
      </c>
      <c r="D7" s="47">
        <v>10</v>
      </c>
      <c r="E7" s="48"/>
      <c r="F7" s="48"/>
      <c r="G7" s="48"/>
      <c r="H7" s="48"/>
      <c r="I7" s="120"/>
      <c r="J7" s="120"/>
      <c r="K7" s="120"/>
    </row>
    <row r="8" spans="1:11" ht="13.8">
      <c r="A8" s="121"/>
      <c r="B8" s="121"/>
      <c r="C8" s="121"/>
      <c r="D8" s="121"/>
      <c r="E8" s="36"/>
      <c r="F8" s="36"/>
      <c r="G8" s="36"/>
      <c r="H8" s="36"/>
      <c r="I8" s="36"/>
      <c r="J8" s="49"/>
      <c r="K8" s="49"/>
    </row>
    <row r="9" spans="1:11">
      <c r="A9" s="127" t="s">
        <v>69</v>
      </c>
      <c r="B9" s="129" t="s">
        <v>70</v>
      </c>
      <c r="C9" s="127" t="s">
        <v>71</v>
      </c>
      <c r="D9" s="133" t="s">
        <v>72</v>
      </c>
      <c r="E9" s="134"/>
      <c r="F9" s="134"/>
      <c r="G9" s="135"/>
      <c r="H9" s="131" t="s">
        <v>73</v>
      </c>
      <c r="I9" s="132" t="s">
        <v>74</v>
      </c>
      <c r="J9" s="132" t="s">
        <v>75</v>
      </c>
      <c r="K9" s="132" t="s">
        <v>76</v>
      </c>
    </row>
    <row r="10" spans="1:11">
      <c r="A10" s="128"/>
      <c r="B10" s="130"/>
      <c r="C10" s="128"/>
      <c r="D10" s="136"/>
      <c r="E10" s="137"/>
      <c r="F10" s="137"/>
      <c r="G10" s="138"/>
      <c r="H10" s="127"/>
      <c r="I10" s="127"/>
      <c r="J10" s="127"/>
      <c r="K10" s="127"/>
    </row>
    <row r="11" spans="1:11" ht="15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3"/>
    </row>
    <row r="12" spans="1:11">
      <c r="A12" s="124" t="s">
        <v>94</v>
      </c>
      <c r="B12" s="125"/>
      <c r="C12" s="125"/>
      <c r="D12" s="125"/>
      <c r="E12" s="125"/>
      <c r="F12" s="125"/>
      <c r="G12" s="125"/>
      <c r="H12" s="125"/>
      <c r="I12" s="125"/>
      <c r="J12" s="125"/>
      <c r="K12" s="126"/>
    </row>
    <row r="13" spans="1:11" ht="105.6">
      <c r="A13" s="52" t="s">
        <v>78</v>
      </c>
      <c r="B13" s="54" t="s">
        <v>95</v>
      </c>
      <c r="C13" s="54" t="s">
        <v>96</v>
      </c>
      <c r="D13" s="149" t="s">
        <v>97</v>
      </c>
      <c r="E13" s="115"/>
      <c r="F13" s="115"/>
      <c r="G13" s="148"/>
      <c r="H13" s="56"/>
      <c r="I13" s="57"/>
      <c r="J13" s="54" t="s">
        <v>66</v>
      </c>
      <c r="K13" s="54"/>
    </row>
    <row r="14" spans="1:11">
      <c r="A14" s="124" t="s">
        <v>98</v>
      </c>
      <c r="B14" s="125"/>
      <c r="C14" s="125"/>
      <c r="D14" s="125"/>
      <c r="E14" s="125"/>
      <c r="F14" s="125"/>
      <c r="G14" s="125"/>
      <c r="H14" s="125"/>
      <c r="I14" s="125"/>
      <c r="J14" s="125"/>
      <c r="K14" s="126"/>
    </row>
    <row r="15" spans="1:11" ht="92.4">
      <c r="A15" s="72" t="s">
        <v>83</v>
      </c>
      <c r="B15" s="72" t="s">
        <v>99</v>
      </c>
      <c r="C15" s="72" t="s">
        <v>100</v>
      </c>
      <c r="D15" s="150" t="s">
        <v>101</v>
      </c>
      <c r="E15" s="151"/>
      <c r="F15" s="151"/>
      <c r="G15" s="152"/>
      <c r="H15" s="73"/>
      <c r="I15" s="73"/>
      <c r="J15" s="74" t="s">
        <v>66</v>
      </c>
      <c r="K15" s="73"/>
    </row>
    <row r="16" spans="1:11">
      <c r="A16" s="124" t="s">
        <v>102</v>
      </c>
      <c r="B16" s="125"/>
      <c r="C16" s="125"/>
      <c r="D16" s="50"/>
      <c r="E16" s="50"/>
      <c r="F16" s="50"/>
      <c r="G16" s="50"/>
      <c r="H16" s="50"/>
      <c r="I16" s="50"/>
      <c r="J16" s="50"/>
      <c r="K16" s="51"/>
    </row>
    <row r="17" spans="1:11" ht="26.4">
      <c r="A17" s="52" t="s">
        <v>88</v>
      </c>
      <c r="B17" s="63" t="s">
        <v>103</v>
      </c>
      <c r="C17" s="63" t="s">
        <v>104</v>
      </c>
      <c r="D17" s="149" t="s">
        <v>105</v>
      </c>
      <c r="E17" s="153"/>
      <c r="F17" s="153"/>
      <c r="G17" s="154"/>
      <c r="H17" s="56"/>
      <c r="I17" s="58"/>
      <c r="J17" s="54" t="s">
        <v>66</v>
      </c>
      <c r="K17" s="54"/>
    </row>
    <row r="18" spans="1:11">
      <c r="A18" s="124" t="s">
        <v>106</v>
      </c>
      <c r="B18" s="125"/>
      <c r="C18" s="125"/>
      <c r="D18" s="50"/>
      <c r="E18" s="50"/>
      <c r="F18" s="50"/>
      <c r="G18" s="50"/>
      <c r="H18" s="50"/>
      <c r="I18" s="50"/>
      <c r="J18" s="50"/>
      <c r="K18" s="51"/>
    </row>
    <row r="19" spans="1:11" ht="39.6">
      <c r="A19" s="52" t="s">
        <v>107</v>
      </c>
      <c r="B19" s="54" t="s">
        <v>108</v>
      </c>
      <c r="C19" s="54" t="s">
        <v>109</v>
      </c>
      <c r="D19" s="114" t="s">
        <v>110</v>
      </c>
      <c r="E19" s="115"/>
      <c r="F19" s="115"/>
      <c r="G19" s="148"/>
      <c r="H19" s="56"/>
      <c r="I19" s="58"/>
      <c r="J19" s="54" t="s">
        <v>66</v>
      </c>
      <c r="K19" s="54"/>
    </row>
    <row r="20" spans="1:11">
      <c r="A20" s="124" t="s">
        <v>111</v>
      </c>
      <c r="B20" s="125"/>
      <c r="C20" s="125"/>
      <c r="D20" s="50"/>
      <c r="E20" s="50"/>
      <c r="F20" s="50"/>
      <c r="G20" s="50"/>
      <c r="H20" s="50"/>
      <c r="I20" s="50"/>
      <c r="J20" s="50"/>
      <c r="K20" s="51"/>
    </row>
    <row r="21" spans="1:11" ht="66">
      <c r="A21" s="52" t="s">
        <v>112</v>
      </c>
      <c r="B21" s="54" t="s">
        <v>113</v>
      </c>
      <c r="C21" s="54" t="s">
        <v>114</v>
      </c>
      <c r="D21" s="114" t="s">
        <v>115</v>
      </c>
      <c r="E21" s="115"/>
      <c r="F21" s="115"/>
      <c r="G21" s="148"/>
      <c r="H21" s="56"/>
      <c r="I21" s="58"/>
      <c r="J21" s="54" t="s">
        <v>66</v>
      </c>
      <c r="K21" s="54"/>
    </row>
    <row r="22" spans="1:11">
      <c r="A22" s="64" t="s">
        <v>165</v>
      </c>
    </row>
    <row r="23" spans="1:11">
      <c r="A23" s="64" t="s">
        <v>166</v>
      </c>
    </row>
    <row r="24" spans="1:11">
      <c r="A24" s="64" t="s">
        <v>167</v>
      </c>
    </row>
    <row r="25" spans="1:11">
      <c r="A25" s="64" t="s">
        <v>168</v>
      </c>
    </row>
    <row r="26" spans="1:11" ht="26.4">
      <c r="A26" s="64" t="s">
        <v>169</v>
      </c>
    </row>
    <row r="27" spans="1:11" ht="39.6">
      <c r="A27" s="64" t="s">
        <v>170</v>
      </c>
    </row>
    <row r="28" spans="1:11">
      <c r="A28" s="64" t="s">
        <v>171</v>
      </c>
    </row>
    <row r="29" spans="1:11" ht="26.4">
      <c r="A29" s="64" t="s">
        <v>172</v>
      </c>
    </row>
    <row r="30" spans="1:11" ht="26.4">
      <c r="A30" s="64" t="s">
        <v>173</v>
      </c>
    </row>
    <row r="31" spans="1:11" ht="39.6">
      <c r="A31" s="64" t="s">
        <v>174</v>
      </c>
    </row>
    <row r="32" spans="1:11">
      <c r="A32" s="104" t="s">
        <v>175</v>
      </c>
    </row>
    <row r="33" spans="1:2" ht="66">
      <c r="A33" s="104" t="s">
        <v>176</v>
      </c>
      <c r="B33" t="s">
        <v>180</v>
      </c>
    </row>
    <row r="34" spans="1:2" ht="26.4">
      <c r="A34" s="104" t="s">
        <v>177</v>
      </c>
    </row>
    <row r="35" spans="1:2" ht="26.4">
      <c r="A35" s="104" t="s">
        <v>178</v>
      </c>
    </row>
    <row r="36" spans="1:2" ht="26.4">
      <c r="A36" s="104" t="s">
        <v>179</v>
      </c>
    </row>
  </sheetData>
  <mergeCells count="28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H9:H10"/>
    <mergeCell ref="I9:I10"/>
    <mergeCell ref="J9:J10"/>
    <mergeCell ref="K9:K10"/>
    <mergeCell ref="A18:C18"/>
    <mergeCell ref="D19:G19"/>
    <mergeCell ref="A20:C20"/>
    <mergeCell ref="D21:G21"/>
    <mergeCell ref="A9:A10"/>
    <mergeCell ref="B9:B10"/>
    <mergeCell ref="C9:C10"/>
    <mergeCell ref="D9:G10"/>
    <mergeCell ref="D13:G13"/>
    <mergeCell ref="A14:K14"/>
    <mergeCell ref="D15:G15"/>
    <mergeCell ref="A16:C16"/>
    <mergeCell ref="D17:G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9"/>
  <sheetViews>
    <sheetView topLeftCell="A10" zoomScale="35" workbookViewId="0">
      <selection activeCell="C35" sqref="C35"/>
    </sheetView>
  </sheetViews>
  <sheetFormatPr defaultColWidth="9" defaultRowHeight="13.2"/>
  <cols>
    <col min="1" max="1" width="18.21875" customWidth="1"/>
    <col min="2" max="2" width="26.6640625" customWidth="1"/>
    <col min="3" max="3" width="33.44140625" customWidth="1"/>
    <col min="6" max="6" width="17.6640625" customWidth="1"/>
    <col min="7" max="7" width="0.88671875" customWidth="1"/>
  </cols>
  <sheetData>
    <row r="1" spans="1:11" ht="13.8">
      <c r="A1" s="30" t="s">
        <v>0</v>
      </c>
      <c r="B1" s="112"/>
      <c r="C1" s="112"/>
      <c r="D1" s="112"/>
      <c r="E1" s="31"/>
      <c r="F1" s="31"/>
      <c r="G1" s="31"/>
      <c r="H1" s="31"/>
      <c r="I1" s="31"/>
      <c r="J1" s="32"/>
      <c r="K1" s="31"/>
    </row>
    <row r="2" spans="1:11" ht="13.8">
      <c r="A2" s="33"/>
      <c r="B2" s="113"/>
      <c r="C2" s="113"/>
      <c r="D2" s="113"/>
      <c r="E2" s="31"/>
      <c r="F2" s="31"/>
      <c r="G2" s="31"/>
      <c r="H2" s="31"/>
      <c r="I2" s="31"/>
      <c r="J2" s="32"/>
      <c r="K2" s="31"/>
    </row>
    <row r="3" spans="1:11" ht="13.8">
      <c r="A3" s="34" t="s">
        <v>59</v>
      </c>
      <c r="B3" s="139" t="s">
        <v>116</v>
      </c>
      <c r="C3" s="139"/>
      <c r="D3" s="140"/>
      <c r="E3" s="35"/>
      <c r="F3" s="35"/>
      <c r="G3" s="35"/>
      <c r="H3" s="35"/>
      <c r="I3" s="120"/>
      <c r="J3" s="120"/>
      <c r="K3" s="120"/>
    </row>
    <row r="4" spans="1:11" ht="13.8">
      <c r="A4" s="37" t="s">
        <v>61</v>
      </c>
      <c r="B4" s="141" t="s">
        <v>117</v>
      </c>
      <c r="C4" s="142"/>
      <c r="D4" s="143"/>
      <c r="E4" s="35"/>
      <c r="F4" s="35"/>
      <c r="G4" s="35"/>
      <c r="H4" s="35"/>
      <c r="I4" s="120"/>
      <c r="J4" s="120"/>
      <c r="K4" s="120"/>
    </row>
    <row r="5" spans="1:11" ht="26.4">
      <c r="A5" s="38" t="s">
        <v>63</v>
      </c>
      <c r="B5" s="144" t="s">
        <v>64</v>
      </c>
      <c r="C5" s="145"/>
      <c r="D5" s="146"/>
      <c r="E5" s="39"/>
      <c r="F5" s="39"/>
      <c r="G5" s="39"/>
      <c r="H5" s="39"/>
      <c r="I5" s="147"/>
      <c r="J5" s="147"/>
      <c r="K5" s="147"/>
    </row>
    <row r="6" spans="1:11" ht="13.8">
      <c r="A6" s="40" t="s">
        <v>65</v>
      </c>
      <c r="B6" s="41">
        <f>COUNTIF(J12:J23,"Pass")</f>
        <v>0</v>
      </c>
      <c r="C6" s="42" t="s">
        <v>66</v>
      </c>
      <c r="D6" s="43">
        <f>COUNTIF(J10:J741,"Pending")</f>
        <v>10</v>
      </c>
      <c r="E6" s="36"/>
      <c r="F6" s="36"/>
      <c r="G6" s="36"/>
      <c r="H6" s="36"/>
      <c r="I6" s="120"/>
      <c r="J6" s="120"/>
      <c r="K6" s="120"/>
    </row>
    <row r="7" spans="1:11" ht="13.8">
      <c r="A7" s="44" t="s">
        <v>67</v>
      </c>
      <c r="B7" s="45">
        <f>COUNTIF(J12:J23,"Fail")</f>
        <v>0</v>
      </c>
      <c r="C7" s="46" t="s">
        <v>68</v>
      </c>
      <c r="D7" s="47">
        <f>COUNTA(A12:A24)-3</f>
        <v>10</v>
      </c>
      <c r="E7" s="48"/>
      <c r="F7" s="48"/>
      <c r="G7" s="48"/>
      <c r="H7" s="48"/>
      <c r="I7" s="120"/>
      <c r="J7" s="120"/>
      <c r="K7" s="120"/>
    </row>
    <row r="8" spans="1:11" ht="13.8">
      <c r="A8" s="121"/>
      <c r="B8" s="121"/>
      <c r="C8" s="121"/>
      <c r="D8" s="121"/>
      <c r="E8" s="36"/>
      <c r="F8" s="36"/>
      <c r="G8" s="36"/>
      <c r="H8" s="36"/>
      <c r="I8" s="36"/>
      <c r="J8" s="49"/>
      <c r="K8" s="49"/>
    </row>
    <row r="9" spans="1:11">
      <c r="A9" s="127" t="s">
        <v>69</v>
      </c>
      <c r="B9" s="129" t="s">
        <v>70</v>
      </c>
      <c r="C9" s="127" t="s">
        <v>71</v>
      </c>
      <c r="D9" s="133" t="s">
        <v>72</v>
      </c>
      <c r="E9" s="134"/>
      <c r="F9" s="134"/>
      <c r="G9" s="135"/>
      <c r="H9" s="131" t="s">
        <v>73</v>
      </c>
      <c r="I9" s="132" t="s">
        <v>74</v>
      </c>
      <c r="J9" s="132" t="s">
        <v>75</v>
      </c>
      <c r="K9" s="132" t="s">
        <v>76</v>
      </c>
    </row>
    <row r="10" spans="1:11">
      <c r="A10" s="128"/>
      <c r="B10" s="130"/>
      <c r="C10" s="128"/>
      <c r="D10" s="136"/>
      <c r="E10" s="137"/>
      <c r="F10" s="137"/>
      <c r="G10" s="138"/>
      <c r="H10" s="127"/>
      <c r="I10" s="127"/>
      <c r="J10" s="127"/>
      <c r="K10" s="127"/>
    </row>
    <row r="11" spans="1:11" ht="15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3"/>
    </row>
    <row r="12" spans="1:11">
      <c r="A12" s="124" t="s">
        <v>118</v>
      </c>
      <c r="B12" s="125"/>
      <c r="C12" s="125"/>
      <c r="D12" s="125"/>
      <c r="E12" s="125"/>
      <c r="F12" s="125"/>
      <c r="G12" s="125"/>
      <c r="H12" s="125"/>
      <c r="I12" s="125"/>
      <c r="J12" s="125"/>
      <c r="K12" s="126"/>
    </row>
    <row r="13" spans="1:11" ht="55.5" customHeight="1">
      <c r="A13" s="52" t="s">
        <v>119</v>
      </c>
      <c r="B13" s="53" t="s">
        <v>120</v>
      </c>
      <c r="C13" s="54" t="s">
        <v>121</v>
      </c>
      <c r="D13" s="157" t="s">
        <v>122</v>
      </c>
      <c r="E13" s="158"/>
      <c r="F13" s="158"/>
      <c r="G13" s="55"/>
      <c r="H13" s="56"/>
      <c r="I13" s="57"/>
      <c r="J13" s="54" t="s">
        <v>66</v>
      </c>
      <c r="K13" s="54"/>
    </row>
    <row r="14" spans="1:11" ht="54" customHeight="1">
      <c r="A14" s="52" t="s">
        <v>123</v>
      </c>
      <c r="B14" s="53" t="s">
        <v>124</v>
      </c>
      <c r="C14" s="58" t="s">
        <v>125</v>
      </c>
      <c r="D14" s="114" t="s">
        <v>126</v>
      </c>
      <c r="E14" s="115"/>
      <c r="F14" s="115"/>
      <c r="G14" s="59"/>
      <c r="H14" s="59"/>
      <c r="I14" s="60"/>
      <c r="J14" s="54" t="s">
        <v>66</v>
      </c>
      <c r="K14" s="54"/>
    </row>
    <row r="15" spans="1:11">
      <c r="A15" s="124" t="s">
        <v>127</v>
      </c>
      <c r="B15" s="125"/>
      <c r="C15" s="125"/>
      <c r="D15" s="61"/>
      <c r="E15" s="61"/>
      <c r="F15" s="61"/>
      <c r="G15" s="61"/>
      <c r="H15" s="50"/>
      <c r="I15" s="50"/>
      <c r="J15" s="50"/>
      <c r="K15" s="51"/>
    </row>
    <row r="16" spans="1:11" ht="77.25" customHeight="1">
      <c r="A16" s="52" t="s">
        <v>128</v>
      </c>
      <c r="B16" s="108" t="s">
        <v>194</v>
      </c>
      <c r="C16" s="58" t="s">
        <v>129</v>
      </c>
      <c r="D16" s="114" t="s">
        <v>130</v>
      </c>
      <c r="E16" s="115"/>
      <c r="F16" s="115"/>
      <c r="G16" s="62"/>
      <c r="H16" s="59"/>
      <c r="I16" s="54"/>
      <c r="J16" s="54" t="s">
        <v>66</v>
      </c>
      <c r="K16" s="54"/>
    </row>
    <row r="17" spans="1:11" ht="78" customHeight="1">
      <c r="A17" s="52" t="s">
        <v>131</v>
      </c>
      <c r="B17" s="109" t="s">
        <v>132</v>
      </c>
      <c r="C17" s="63" t="s">
        <v>133</v>
      </c>
      <c r="D17" s="157" t="s">
        <v>130</v>
      </c>
      <c r="E17" s="158"/>
      <c r="F17" s="158"/>
      <c r="G17" s="55"/>
      <c r="H17" s="56"/>
      <c r="I17" s="58"/>
      <c r="J17" s="54" t="s">
        <v>66</v>
      </c>
      <c r="K17" s="54"/>
    </row>
    <row r="18" spans="1:11" ht="79.5" customHeight="1">
      <c r="A18" s="52" t="s">
        <v>134</v>
      </c>
      <c r="B18" s="108" t="s">
        <v>192</v>
      </c>
      <c r="C18" s="58" t="s">
        <v>135</v>
      </c>
      <c r="D18" s="114" t="s">
        <v>136</v>
      </c>
      <c r="E18" s="115"/>
      <c r="F18" s="115"/>
      <c r="G18" s="59"/>
      <c r="H18" s="59"/>
      <c r="I18" s="54"/>
      <c r="J18" s="54" t="s">
        <v>66</v>
      </c>
      <c r="K18" s="54"/>
    </row>
    <row r="19" spans="1:11" ht="78.75" customHeight="1">
      <c r="A19" s="52" t="s">
        <v>137</v>
      </c>
      <c r="B19" s="108" t="s">
        <v>138</v>
      </c>
      <c r="C19" s="58" t="s">
        <v>139</v>
      </c>
      <c r="D19" s="114" t="s">
        <v>136</v>
      </c>
      <c r="E19" s="115"/>
      <c r="F19" s="115"/>
      <c r="G19" s="59"/>
      <c r="H19" s="59"/>
      <c r="I19" s="54"/>
      <c r="J19" s="54" t="s">
        <v>66</v>
      </c>
      <c r="K19" s="54"/>
    </row>
    <row r="20" spans="1:11" ht="78.75" customHeight="1">
      <c r="A20" s="64" t="s">
        <v>140</v>
      </c>
      <c r="B20" s="110" t="s">
        <v>141</v>
      </c>
      <c r="C20" s="65" t="s">
        <v>142</v>
      </c>
      <c r="D20" s="155" t="s">
        <v>136</v>
      </c>
      <c r="E20" s="156"/>
      <c r="F20" s="156"/>
      <c r="G20" s="66"/>
      <c r="H20" s="67"/>
      <c r="I20" s="67"/>
      <c r="J20" s="67" t="s">
        <v>66</v>
      </c>
      <c r="K20" s="67"/>
    </row>
    <row r="21" spans="1:11">
      <c r="A21" s="124" t="s">
        <v>143</v>
      </c>
      <c r="B21" s="125"/>
      <c r="C21" s="125"/>
      <c r="D21" s="61"/>
      <c r="E21" s="61"/>
      <c r="F21" s="61"/>
      <c r="G21" s="61"/>
      <c r="H21" s="50"/>
      <c r="I21" s="50"/>
      <c r="J21" s="50"/>
      <c r="K21" s="51"/>
    </row>
    <row r="22" spans="1:11" ht="66" customHeight="1">
      <c r="A22" s="52" t="s">
        <v>144</v>
      </c>
      <c r="B22" s="63" t="s">
        <v>145</v>
      </c>
      <c r="C22" s="63" t="s">
        <v>146</v>
      </c>
      <c r="D22" s="114" t="s">
        <v>147</v>
      </c>
      <c r="E22" s="115"/>
      <c r="F22" s="115"/>
      <c r="G22" s="59"/>
      <c r="H22" s="56"/>
      <c r="I22" s="58"/>
      <c r="J22" s="54" t="s">
        <v>66</v>
      </c>
      <c r="K22" s="54"/>
    </row>
    <row r="23" spans="1:11" ht="65.25" customHeight="1">
      <c r="A23" s="68" t="s">
        <v>148</v>
      </c>
      <c r="B23" s="54" t="s">
        <v>149</v>
      </c>
      <c r="C23" s="54" t="s">
        <v>150</v>
      </c>
      <c r="D23" s="114" t="s">
        <v>151</v>
      </c>
      <c r="E23" s="115"/>
      <c r="F23" s="115"/>
      <c r="G23" s="59"/>
      <c r="H23" s="54"/>
      <c r="I23" s="54"/>
      <c r="J23" s="54" t="s">
        <v>66</v>
      </c>
      <c r="K23" s="54"/>
    </row>
    <row r="24" spans="1:11" ht="67.5" customHeight="1">
      <c r="A24" s="68" t="s">
        <v>152</v>
      </c>
      <c r="B24" s="54" t="s">
        <v>153</v>
      </c>
      <c r="C24" s="54" t="s">
        <v>154</v>
      </c>
      <c r="D24" s="114" t="s">
        <v>151</v>
      </c>
      <c r="E24" s="115"/>
      <c r="F24" s="115"/>
      <c r="G24" s="59"/>
      <c r="H24" s="54"/>
      <c r="I24" s="54"/>
      <c r="J24" s="54" t="s">
        <v>66</v>
      </c>
      <c r="K24" s="54"/>
    </row>
    <row r="25" spans="1:11">
      <c r="A25" s="107" t="s">
        <v>181</v>
      </c>
    </row>
    <row r="26" spans="1:11">
      <c r="A26" s="107" t="s">
        <v>182</v>
      </c>
    </row>
    <row r="27" spans="1:11">
      <c r="A27" s="105"/>
    </row>
    <row r="28" spans="1:11" ht="26.4">
      <c r="A28" s="106" t="s">
        <v>183</v>
      </c>
    </row>
    <row r="29" spans="1:11" ht="26.4">
      <c r="A29" s="106" t="s">
        <v>184</v>
      </c>
    </row>
    <row r="30" spans="1:11">
      <c r="A30" s="105"/>
    </row>
    <row r="31" spans="1:11" ht="26.4">
      <c r="A31" s="106" t="s">
        <v>185</v>
      </c>
      <c r="C31" s="111" t="s">
        <v>193</v>
      </c>
    </row>
    <row r="32" spans="1:11">
      <c r="A32" s="105"/>
    </row>
    <row r="33" spans="1:2" ht="26.4">
      <c r="A33" s="106" t="s">
        <v>186</v>
      </c>
    </row>
    <row r="34" spans="1:2">
      <c r="A34" s="105" t="s">
        <v>187</v>
      </c>
    </row>
    <row r="35" spans="1:2" ht="52.8">
      <c r="A35" s="106" t="s">
        <v>188</v>
      </c>
    </row>
    <row r="36" spans="1:2">
      <c r="A36" s="105" t="s">
        <v>189</v>
      </c>
    </row>
    <row r="37" spans="1:2" ht="26.4">
      <c r="A37" s="106" t="s">
        <v>190</v>
      </c>
      <c r="B37" s="105"/>
    </row>
    <row r="39" spans="1:2">
      <c r="A39" s="105" t="s">
        <v>191</v>
      </c>
    </row>
  </sheetData>
  <mergeCells count="32">
    <mergeCell ref="B3:D3"/>
    <mergeCell ref="I3:K3"/>
    <mergeCell ref="B4:D4"/>
    <mergeCell ref="I4:K4"/>
    <mergeCell ref="B5:D5"/>
    <mergeCell ref="I5:K5"/>
    <mergeCell ref="D17:F17"/>
    <mergeCell ref="I6:K6"/>
    <mergeCell ref="I7:K7"/>
    <mergeCell ref="A8:D8"/>
    <mergeCell ref="A11:K11"/>
    <mergeCell ref="A12:K12"/>
    <mergeCell ref="H9:H10"/>
    <mergeCell ref="I9:I10"/>
    <mergeCell ref="J9:J10"/>
    <mergeCell ref="K9:K10"/>
    <mergeCell ref="B1:D2"/>
    <mergeCell ref="D23:F23"/>
    <mergeCell ref="D24:F24"/>
    <mergeCell ref="A9:A10"/>
    <mergeCell ref="B9:B10"/>
    <mergeCell ref="C9:C10"/>
    <mergeCell ref="D9:G10"/>
    <mergeCell ref="D18:F18"/>
    <mergeCell ref="D19:F19"/>
    <mergeCell ref="D20:F20"/>
    <mergeCell ref="A21:C21"/>
    <mergeCell ref="D22:F22"/>
    <mergeCell ref="D13:F13"/>
    <mergeCell ref="D14:F14"/>
    <mergeCell ref="A15:C15"/>
    <mergeCell ref="D16:F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3"/>
  <sheetViews>
    <sheetView workbookViewId="0">
      <selection activeCell="C4" sqref="C4"/>
    </sheetView>
  </sheetViews>
  <sheetFormatPr defaultColWidth="8.77734375" defaultRowHeight="13.2"/>
  <cols>
    <col min="3" max="3" width="22.77734375" customWidth="1"/>
    <col min="7" max="7" width="18.77734375" customWidth="1"/>
  </cols>
  <sheetData>
    <row r="1" spans="1:7" ht="22.2">
      <c r="A1" s="2" t="s">
        <v>155</v>
      </c>
      <c r="B1" s="3"/>
      <c r="C1" s="4"/>
      <c r="D1" s="4"/>
      <c r="E1" s="4"/>
      <c r="F1" s="4"/>
      <c r="G1" s="5"/>
    </row>
    <row r="2" spans="1:7" ht="14.25" customHeight="1">
      <c r="A2" s="2"/>
      <c r="B2" s="3"/>
      <c r="C2" s="4"/>
      <c r="D2" s="4"/>
      <c r="E2" s="4"/>
      <c r="F2" s="4"/>
      <c r="G2" s="5"/>
    </row>
    <row r="3" spans="1:7" ht="13.8">
      <c r="B3" s="6" t="s">
        <v>156</v>
      </c>
      <c r="C3" s="4"/>
      <c r="D3" s="4"/>
      <c r="E3" s="4"/>
      <c r="F3" s="4"/>
      <c r="G3" s="5"/>
    </row>
    <row r="4" spans="1:7" ht="13.8">
      <c r="B4" s="6" t="s">
        <v>157</v>
      </c>
      <c r="C4" s="7"/>
      <c r="D4" s="6"/>
      <c r="E4" s="6"/>
      <c r="F4" s="6"/>
      <c r="G4" s="6"/>
    </row>
    <row r="5" spans="1:7" ht="13.8">
      <c r="A5" s="6"/>
      <c r="B5" s="6"/>
      <c r="C5" s="6"/>
      <c r="D5" s="6"/>
      <c r="E5" s="6"/>
      <c r="F5" s="6"/>
      <c r="G5" s="6"/>
    </row>
    <row r="6" spans="1:7" ht="13.8">
      <c r="A6" s="6"/>
      <c r="B6" s="6"/>
      <c r="C6" s="6"/>
      <c r="D6" s="6"/>
      <c r="E6" s="6"/>
      <c r="F6" s="6"/>
      <c r="G6" s="6"/>
    </row>
    <row r="7" spans="1:7" ht="26.4">
      <c r="A7" s="6"/>
      <c r="B7" s="8" t="s">
        <v>158</v>
      </c>
      <c r="C7" s="9" t="s">
        <v>159</v>
      </c>
      <c r="D7" s="10" t="s">
        <v>65</v>
      </c>
      <c r="E7" s="9" t="s">
        <v>67</v>
      </c>
      <c r="F7" s="9" t="s">
        <v>66</v>
      </c>
      <c r="G7" s="11" t="s">
        <v>160</v>
      </c>
    </row>
    <row r="8" spans="1:7" s="1" customFormat="1" ht="13.8">
      <c r="A8" s="12"/>
      <c r="B8" s="13">
        <v>1</v>
      </c>
      <c r="C8" s="14" t="str">
        <f>Samples!B4</f>
        <v>CR100 - Export to excel</v>
      </c>
      <c r="D8" s="15">
        <f>Samples!B6</f>
        <v>3</v>
      </c>
      <c r="E8" s="14">
        <f>Samples!B7</f>
        <v>0</v>
      </c>
      <c r="F8" s="14">
        <f>Samples!D6</f>
        <v>0</v>
      </c>
      <c r="G8" s="15">
        <f>Samples!D7</f>
        <v>-9</v>
      </c>
    </row>
    <row r="9" spans="1:7" ht="13.8">
      <c r="A9" s="6"/>
      <c r="B9" s="16"/>
      <c r="C9" s="17"/>
      <c r="D9" s="18"/>
      <c r="E9" s="19"/>
      <c r="F9" s="19"/>
      <c r="G9" s="20"/>
    </row>
    <row r="10" spans="1:7" ht="13.8">
      <c r="A10" s="6"/>
      <c r="B10" s="21"/>
      <c r="C10" s="22" t="s">
        <v>161</v>
      </c>
      <c r="D10" s="23">
        <f>SUM(D6:D9)</f>
        <v>3</v>
      </c>
      <c r="E10" s="23">
        <f>SUM(E6:E9)</f>
        <v>0</v>
      </c>
      <c r="F10" s="23">
        <f>SUM(F6:F9)</f>
        <v>0</v>
      </c>
      <c r="G10" s="24">
        <f>SUM(G6:G9)</f>
        <v>-9</v>
      </c>
    </row>
    <row r="11" spans="1:7" ht="13.8">
      <c r="A11" s="6"/>
      <c r="B11" s="25"/>
      <c r="C11" s="6"/>
      <c r="D11" s="26"/>
      <c r="E11" s="27"/>
      <c r="F11" s="27"/>
      <c r="G11" s="27"/>
    </row>
    <row r="12" spans="1:7" ht="13.8">
      <c r="A12" s="6"/>
      <c r="B12" s="6"/>
      <c r="C12" s="6" t="s">
        <v>162</v>
      </c>
      <c r="D12" s="6"/>
      <c r="E12" s="28">
        <f>(D10+E10)*100/G10</f>
        <v>-33.3333333333333</v>
      </c>
      <c r="F12" s="6" t="s">
        <v>163</v>
      </c>
      <c r="G12" s="29"/>
    </row>
    <row r="13" spans="1:7" ht="13.8">
      <c r="A13" s="6"/>
      <c r="B13" s="6"/>
      <c r="C13" s="6" t="s">
        <v>164</v>
      </c>
      <c r="D13" s="6"/>
      <c r="E13" s="28">
        <f>D10*100/G10</f>
        <v>-33.3333333333333</v>
      </c>
      <c r="F13" s="6" t="s">
        <v>163</v>
      </c>
      <c r="G13" s="29"/>
    </row>
  </sheetData>
  <pageMargins left="0.75" right="0.75" top="1" bottom="1" header="0.5" footer="0.5"/>
  <pageSetup orientation="landscape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</vt:lpstr>
      <vt:lpstr>Samples</vt:lpstr>
      <vt:lpstr>Booking</vt:lpstr>
      <vt:lpstr>Cancel Booking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my xuyen</cp:lastModifiedBy>
  <cp:lastPrinted>2006-08-02T10:15:00Z</cp:lastPrinted>
  <dcterms:created xsi:type="dcterms:W3CDTF">2002-07-27T17:17:00Z</dcterms:created>
  <dcterms:modified xsi:type="dcterms:W3CDTF">2026-04-17T09:04:23Z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20A95DD9B6FC487E8574604746F5BDCD_12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
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-105" yWindow="-105" windowWidth="23250" windowHeight="12450" tabRatio="821" activeTab="3"/>
  </bookViews>
  <sheets>
    <sheet name="Cover" sheetId="97" r:id="rId1"/>
    <sheet name="Samples" sheetId="122" r:id="rId2"/>
    <sheet name="Test Report" sheetId="107" r:id="rId3"/>
    <sheet name="Cancel Booking" sheetId="123" r:id="rId4"/>
  </sheets>
  <externalReferences>
    <externalReference r:id="rId5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62913"/>
</workbook>
</file>

<file path=xl/calcChain.xml><?xml version="1.0" encoding="utf-8"?>
<calcChain xmlns="http://schemas.openxmlformats.org/spreadsheetml/2006/main">
  <c r="D7" i="123" l="1"/>
  <c r="B7" i="123"/>
  <c r="D6" i="123"/>
  <c r="B6" i="123"/>
  <c r="D7" i="122" l="1"/>
  <c r="G8" i="107" s="1"/>
  <c r="G10" i="107" s="1"/>
  <c r="B6" i="122"/>
  <c r="D8" i="107" s="1"/>
  <c r="D10" i="107" s="1"/>
  <c r="B7" i="122"/>
  <c r="E8" i="107" s="1"/>
  <c r="E10" i="107" s="1"/>
  <c r="D6" i="122"/>
  <c r="F8" i="107" s="1"/>
  <c r="F10" i="107" s="1"/>
  <c r="C8" i="107"/>
  <c r="E13" i="107" l="1"/>
  <c r="E12" i="107"/>
</calcChain>
</file>

<file path=xl/sharedStrings.xml><?xml version="1.0" encoding="utf-8"?>
<sst xmlns="http://schemas.openxmlformats.org/spreadsheetml/2006/main" count="236" uniqueCount="161">
  <si>
    <r>
      <t>Don't 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</si>
  <si>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r>
      <t>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</si>
  <si>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TC1</t>
  </si>
  <si>
    <t>TC2</t>
  </si>
  <si>
    <t>TC3</t>
  </si>
  <si>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</si>
  <si>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</si>
  <si>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</si>
  <si>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</si>
  <si>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</si>
  <si>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</si>
  <si>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</si>
  <si>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</si>
  <si>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</si>
  <si>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</si>
  <si>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</si>
  <si>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</si>
  <si>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</si>
  <si>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</si>
  <si>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</si>
  <si>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</si>
  <si>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</si>
  <si>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</si>
  <si>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</si>
  <si>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</si>
  <si>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</si>
  <si>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</si>
  <si>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</si>
  <si>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</si>
  <si>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</si>
  <si>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</si>
  <si>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</si>
  <si>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</si>
  <si>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</si>
  <si>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</si>
  <si>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</si>
  <si>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</si>
  <si>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</si>
  <si>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</si>
  <si>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</si>
  <si>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1.0</t>
  </si>
  <si>
    <t>Checking new role is added</t>
  </si>
  <si>
    <r>
      <t xml:space="preserve">Checking new function is added in </t>
    </r>
    <r>
      <rPr>
        <b/>
        <sz val="10"/>
        <color indexed="8"/>
        <rFont val="Tahoma"/>
        <family val="2"/>
      </rPr>
      <t>Classic or Current Mode</t>
    </r>
  </si>
  <si>
    <r>
      <t>Role Tab is added a new role, it's name "</t>
    </r>
    <r>
      <rPr>
        <b/>
        <sz val="10"/>
        <color indexed="8"/>
        <rFont val="Tahoma"/>
        <family val="2"/>
      </rPr>
      <t>CanExportAllCarrierChoices"</t>
    </r>
  </si>
  <si>
    <t>Check set Role CanExportAllCarrierChoices = True</t>
  </si>
  <si>
    <t>Check set Role CanExportAllCarrierChoices = False</t>
  </si>
  <si>
    <t>1.1</t>
  </si>
  <si>
    <t>1.2</t>
  </si>
  <si>
    <t>Sample Project</t>
  </si>
  <si>
    <t>CR100 - Export to excel</t>
  </si>
  <si>
    <t xml:space="preserve">CR1 - </t>
  </si>
  <si>
    <t>1. Check add role "CanExportAllCarrierChoises": This will be typically set for System users only</t>
  </si>
  <si>
    <t xml:space="preserve">1: Go to the system TestProEngine with Classic or Current or Expert Mode
2: Go to maintenance 
3: Click Maintenance Users
4: Click Role Tab
</t>
  </si>
  <si>
    <t>1: Go to the system TestProEngine with Classic or Current  Mode that has to set role "CanExportAllCarrierChoices"
2: Submit for the quote 
3: Open the quote at the home
4: Go to Quick Links</t>
  </si>
  <si>
    <t>1: Go to the system TestProEngine with Classic or Current  Mode that has not to set role "CanExportAllCarrierChoices"
2: Submit for the quote 
3: Open the quote at the home
4: Go to Quick Links</t>
  </si>
  <si>
    <t>Expected Results</t>
  </si>
  <si>
    <t>Actual Results</t>
  </si>
  <si>
    <t>Status</t>
  </si>
  <si>
    <t>09/03/2026</t>
  </si>
  <si>
    <t>Initial commit – Tạo project, README.md</t>
  </si>
  <si>
    <t>ptmxien1811</t>
  </si>
  <si>
    <t>Initial commit c230be5</t>
  </si>
  <si>
    <t>16/03/2026</t>
  </si>
  <si>
    <t>models.py, seed.py</t>
  </si>
  <si>
    <t>Tạo project cấu trúc ban đầu, định nghĩa models &amp; seed data</t>
  </si>
  <si>
    <t>create project 7f5a5f9</t>
  </si>
  <si>
    <t>25/03/2026</t>
  </si>
  <si>
    <t>README.md</t>
  </si>
  <si>
    <t>Cập nhật README, tạo nhánh chính</t>
  </si>
  <si>
    <t>Update README eda4b6e</t>
  </si>
  <si>
    <t>29/03/2026</t>
  </si>
  <si>
    <t>index.html (FE)</t>
  </si>
  <si>
    <t>FE KhamPha – Thiết kế trang khám phá sân</t>
  </si>
  <si>
    <t>lydailongdichmam123-hue / quien92</t>
  </si>
  <si>
    <t>FE KhamPha fd7def4</t>
  </si>
  <si>
    <t>02/04/2026</t>
  </si>
  <si>
    <t>featured.html</t>
  </si>
  <si>
    <t>Thiết kế trang Featured Page (nổi bật)</t>
  </si>
  <si>
    <t>quien92</t>
  </si>
  <si>
    <t>PR #1, #2 frontend/featured_page</t>
  </si>
  <si>
    <t>04/04/2026</t>
  </si>
  <si>
    <t>seed.py, models.py</t>
  </si>
  <si>
    <t>Cập nhật dữ liệu mẫu (update data)</t>
  </si>
  <si>
    <t>update data 0bcb07a</t>
  </si>
  <si>
    <t>05/04/2026</t>
  </si>
  <si>
    <t>1.3</t>
  </si>
  <si>
    <t>admin.py</t>
  </si>
  <si>
    <t>Long-administrator: Xây dựng trang Admin quản lý sân</t>
  </si>
  <si>
    <t>lydailongdichmam123-hue</t>
  </si>
  <si>
    <t>PR #7 admin-Long 171f63d</t>
  </si>
  <si>
    <t>base.html, footer</t>
  </si>
  <si>
    <t>Cập nhật footer (update fe_footer)</t>
  </si>
  <si>
    <t>PR #8 feature/fe_footer cee02c9</t>
  </si>
  <si>
    <t>06/04/2026</t>
  </si>
  <si>
    <t>index.py</t>
  </si>
  <si>
    <t>Chỉnh sửa tabs điều hướng (edit tabs)</t>
  </si>
  <si>
    <t>edit tabs 8c99a86</t>
  </si>
  <si>
    <t>10/04/2026</t>
  </si>
  <si>
    <t>dao.py, index.py</t>
  </si>
  <si>
    <t>API-BOOKING: Xây dựng API đặt sân, hủy sân</t>
  </si>
  <si>
    <t>PR #9 feature/API-booking 0ee9337</t>
  </si>
  <si>
    <t>1.4</t>
  </si>
  <si>
    <t>dao.py, models.py</t>
  </si>
  <si>
    <t>Hoàn tất tích hợp code Xuyên + Quyên, giữ giao diện</t>
  </si>
  <si>
    <t>01e5a86</t>
  </si>
  <si>
    <t>11/04/2026</t>
  </si>
  <si>
    <t>Chỉnh sửa file admin – cập nhật validation</t>
  </si>
  <si>
    <t>edit file admin 425cce6</t>
  </si>
  <si>
    <t>admin.py, dao.py</t>
  </si>
  <si>
    <t>LONG/feature/CRUD-validation: Thêm ràng buộc CRUD</t>
  </si>
  <si>
    <t>PR #10 CRUD-validation dafe76a</t>
  </si>
  <si>
    <t>cancel-booking API: Hoàn thiện API hủy đặt sân</t>
  </si>
  <si>
    <t>cancel-booking e84986e</t>
  </si>
  <si>
    <t>12/04/2026</t>
  </si>
  <si>
    <t>index.html</t>
  </si>
  <si>
    <t>index.html: Cập nhật giao diện trang chủ, ràng buộc UI</t>
  </si>
  <si>
    <t>PR #14 feature/constraints1 fa7261d</t>
  </si>
  <si>
    <t>15/04/2026</t>
  </si>
  <si>
    <t>Quản lý đặt sân thể thao</t>
  </si>
  <si>
    <t>SPORT-BOOKING-01</t>
  </si>
  <si>
    <t>HỦY ĐẶT SÂN</t>
  </si>
  <si>
    <t>CR200 - CANCEL BOOKING</t>
  </si>
  <si>
    <t>1. Chỉ người đặt mới được hủy</t>
  </si>
  <si>
    <t>TC2-01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</si>
  <si>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</si>
  <si>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</si>
  <si>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</si>
  <si>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TC2-02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</si>
  <si>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</si>
  <si>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</si>
  <si>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</si>
  <si>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</si>
  <si>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TC2-03</t>
  </si>
  <si>
    <t>Huỷ một sân trước 3 giờ trước hạn chót</t>
  </si>
  <si>
    <t>Booking #1 có giờ bắt đầu là 14:00 hôm nay. Thời gian hiện tại là 11:00: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</si>
  <si>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</si>
  <si>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TC2-04</t>
  </si>
  <si>
    <t>Hủy một sân 1 phút ngay trước hạn chót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</si>
  <si>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</si>
  <si>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TC2-05</t>
  </si>
  <si>
    <t>Huỷ một sân đúng ngay hạn chót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</si>
  <si>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</si>
  <si>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</si>
  <si>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TC2-06</t>
  </si>
  <si>
    <t>Huỷ một sân đã quá 1 phút sau hạn chót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</si>
  <si>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</si>
  <si>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TC2-07</t>
  </si>
  <si>
    <t>Huỷ một sân đã qua hạn chót 1 giờ.</t>
  </si>
  <si>
    <t>Booking #1 có giờ bắt đầu là 14:00 hôm nay. Thời gian hiện tại là 13:00:
1: Truy cập vào trang và đăng nhập tài khoản thành công.
2: Chuyển sang tab "Sân đã đặt".
3: Nhấn "HỦY SÂN" ở booking #1.</t>
  </si>
  <si>
    <t>3. Không hủy khi đang chơi</t>
  </si>
  <si>
    <t>TC2-08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</si>
  <si>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</si>
  <si>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</si>
  <si>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</si>
  <si>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TC2-09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</si>
  <si>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</si>
  <si>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</si>
  <si>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TC2-10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</si>
  <si>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</si>
  <si>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</si>
  <si>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Hệ thống có thông báo "Sân này đã thi đấu xong, không thể hủy!"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</si>
</sst>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0.000"/>
  </numFmts>
  <fonts count="33">
    <font>
      <sz val="11"/>
      <name val="ＭＳ Ｐゴシック"/>
      <charset val="128"/>
    </font>
    <font>
      <sz val="11"/>
      <color theme="1"/>
      <name val="Calibri"/>
      <family val="2"/>
      <scheme val="minor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  <font>
      <sz val="11"/>
      <name val="Arial"/>
    </font>
    <font>
      <b/>
      <sz val="13"/>
      <color indexed="60"/>
      <name val="Tahoma"/>
      <family val="2"/>
    </font>
    <font>
      <sz val="13"/>
      <name val="Tahoma"/>
      <family val="2"/>
    </font>
    <font>
      <sz val="13"/>
      <name val="Arial"/>
      <family val="2"/>
    </font>
    <font>
      <b/>
      <sz val="13"/>
      <color indexed="60"/>
      <name val="Times New Roman"/>
      <family val="1"/>
    </font>
    <font>
      <sz val="13"/>
      <name val="Times New Roman"/>
      <family val="1"/>
    </font>
    <font>
      <b/>
      <sz val="13"/>
      <color indexed="9"/>
      <name val="Times New Roman"/>
      <family val="1"/>
    </font>
    <font>
      <sz val="20"/>
      <color theme="1"/>
      <name val="Calibri"/>
      <family val="2"/>
      <scheme val="minor"/>
    </font>
    <font>
      <b/>
      <sz val="2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2" fillId="0" borderId="0" applyProtection="0"/>
    <xf numFmtId="0" fontId="4" fillId="0" borderId="0"/>
    <xf numFmtId="0" fontId="1" fillId="0" borderId="0"/>
  </cellStyleXfs>
  <cellXfs count="146">
    <xf numFmtId="0" fontId="0" fillId="0" borderId="0" xfId="0"/>
    <xf numFmtId="0" fontId="9" fillId="0" borderId="0" xfId="0" applyFont="1"/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vertical="top"/>
    </xf>
    <xf numFmtId="0" fontId="6" fillId="2" borderId="0" xfId="0" applyFont="1" applyFill="1" applyAlignment="1">
      <alignment wrapText="1"/>
    </xf>
    <xf numFmtId="0" fontId="6" fillId="2" borderId="0" xfId="0" applyFont="1" applyFill="1"/>
    <xf numFmtId="0" fontId="7" fillId="2" borderId="0" xfId="0" applyFont="1" applyFill="1" applyAlignment="1">
      <alignment horizontal="center" wrapText="1"/>
    </xf>
    <xf numFmtId="0" fontId="7" fillId="2" borderId="0" xfId="0" applyFont="1" applyFill="1"/>
    <xf numFmtId="0" fontId="7" fillId="2" borderId="1" xfId="0" applyFont="1" applyFill="1" applyBorder="1" applyAlignment="1">
      <alignment horizontal="center" wrapText="1"/>
    </xf>
    <xf numFmtId="0" fontId="7" fillId="2" borderId="2" xfId="0" applyFont="1" applyFill="1" applyBorder="1" applyAlignment="1">
      <alignment horizontal="right"/>
    </xf>
    <xf numFmtId="0" fontId="7" fillId="2" borderId="3" xfId="0" applyFont="1" applyFill="1" applyBorder="1" applyAlignment="1">
      <alignment horizontal="center" wrapText="1"/>
    </xf>
    <xf numFmtId="0" fontId="7" fillId="2" borderId="4" xfId="0" applyFont="1" applyFill="1" applyBorder="1" applyAlignment="1">
      <alignment horizontal="right"/>
    </xf>
    <xf numFmtId="0" fontId="8" fillId="0" borderId="0" xfId="1" applyFont="1"/>
    <xf numFmtId="0" fontId="10" fillId="0" borderId="0" xfId="1" applyFont="1"/>
    <xf numFmtId="0" fontId="5" fillId="0" borderId="0" xfId="1" applyFont="1"/>
    <xf numFmtId="164" fontId="5" fillId="0" borderId="0" xfId="1" applyNumberFormat="1" applyFont="1"/>
    <xf numFmtId="0" fontId="5" fillId="0" borderId="0" xfId="0" applyFont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center" wrapText="1"/>
    </xf>
    <xf numFmtId="0" fontId="9" fillId="2" borderId="0" xfId="0" applyFont="1" applyFill="1"/>
    <xf numFmtId="0" fontId="7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/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16" fillId="3" borderId="10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10" fillId="2" borderId="0" xfId="2" applyFont="1" applyFill="1"/>
    <xf numFmtId="0" fontId="10" fillId="2" borderId="15" xfId="2" applyFont="1" applyFill="1" applyBorder="1" applyAlignment="1">
      <alignment horizontal="left" wrapText="1"/>
    </xf>
    <xf numFmtId="1" fontId="7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5" fillId="2" borderId="0" xfId="2" applyFont="1" applyFill="1" applyAlignment="1">
      <alignment horizontal="left" wrapText="1"/>
    </xf>
    <xf numFmtId="1" fontId="7" fillId="2" borderId="0" xfId="0" applyNumberFormat="1" applyFont="1" applyFill="1" applyAlignment="1">
      <alignment horizontal="center" wrapText="1"/>
    </xf>
    <xf numFmtId="0" fontId="10" fillId="2" borderId="2" xfId="2" applyFont="1" applyFill="1" applyBorder="1" applyAlignment="1">
      <alignment horizontal="left" vertical="center" wrapText="1"/>
    </xf>
    <xf numFmtId="0" fontId="5" fillId="0" borderId="0" xfId="0" applyFont="1" applyAlignment="1">
      <alignment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5" fillId="0" borderId="8" xfId="0" applyNumberFormat="1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/>
    </xf>
    <xf numFmtId="0" fontId="5" fillId="2" borderId="0" xfId="2" applyFont="1" applyFill="1" applyAlignment="1">
      <alignment horizontal="left" vertical="center" wrapText="1"/>
    </xf>
    <xf numFmtId="0" fontId="7" fillId="2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7" fillId="0" borderId="1" xfId="0" quotePrefix="1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165" fontId="7" fillId="0" borderId="1" xfId="0" applyNumberFormat="1" applyFont="1" applyBorder="1" applyAlignment="1">
      <alignment horizontal="left" vertical="top" wrapText="1"/>
    </xf>
    <xf numFmtId="0" fontId="7" fillId="2" borderId="1" xfId="0" applyFont="1" applyFill="1" applyBorder="1" applyAlignment="1">
      <alignment wrapText="1"/>
    </xf>
    <xf numFmtId="0" fontId="7" fillId="2" borderId="5" xfId="0" applyFont="1" applyFill="1" applyBorder="1" applyAlignment="1">
      <alignment wrapText="1"/>
    </xf>
    <xf numFmtId="0" fontId="7" fillId="0" borderId="1" xfId="0" applyFont="1" applyBorder="1" applyAlignment="1">
      <alignment vertical="top" wrapText="1"/>
    </xf>
    <xf numFmtId="0" fontId="7" fillId="0" borderId="19" xfId="0" applyFont="1" applyBorder="1" applyAlignment="1">
      <alignment horizontal="left" vertical="top" wrapText="1"/>
    </xf>
    <xf numFmtId="0" fontId="7" fillId="0" borderId="20" xfId="0" applyFont="1" applyBorder="1" applyAlignment="1">
      <alignment horizontal="center" vertical="top" wrapText="1"/>
    </xf>
    <xf numFmtId="0" fontId="7" fillId="0" borderId="20" xfId="0" applyFont="1" applyBorder="1" applyAlignment="1">
      <alignment horizontal="left" vertical="top" wrapText="1"/>
    </xf>
    <xf numFmtId="0" fontId="22" fillId="4" borderId="21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19" xfId="0" applyFont="1" applyBorder="1" applyAlignment="1">
      <alignment horizontal="left" vertical="top" wrapText="1"/>
    </xf>
    <xf numFmtId="164" fontId="5" fillId="0" borderId="7" xfId="0" applyNumberFormat="1" applyFont="1" applyBorder="1" applyAlignment="1">
      <alignment horizontal="center"/>
    </xf>
    <xf numFmtId="0" fontId="7" fillId="2" borderId="0" xfId="0" applyFont="1" applyFill="1" applyAlignment="1">
      <alignment wrapText="1"/>
    </xf>
    <xf numFmtId="0" fontId="7" fillId="2" borderId="31" xfId="0" applyFont="1" applyFill="1" applyBorder="1" applyAlignment="1">
      <alignment horizontal="center" wrapText="1"/>
    </xf>
    <xf numFmtId="0" fontId="7" fillId="0" borderId="2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1" xfId="0" applyFont="1" applyBorder="1" applyAlignment="1">
      <alignment horizontal="left" vertical="top" wrapText="1"/>
    </xf>
    <xf numFmtId="0" fontId="7" fillId="0" borderId="19" xfId="0" applyFont="1" applyBorder="1" applyAlignment="1">
      <alignment horizontal="left" vertical="top" wrapText="1"/>
    </xf>
    <xf numFmtId="0" fontId="22" fillId="4" borderId="21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wrapText="1"/>
    </xf>
    <xf numFmtId="0" fontId="1" fillId="0" borderId="0" xfId="4"/>
    <xf numFmtId="0" fontId="24" fillId="0" borderId="34" xfId="4" applyFont="1" applyBorder="1"/>
    <xf numFmtId="0" fontId="26" fillId="0" borderId="0" xfId="0" applyFont="1"/>
    <xf numFmtId="0" fontId="28" fillId="0" borderId="0" xfId="0" applyFont="1"/>
    <xf numFmtId="0" fontId="29" fillId="0" borderId="0" xfId="0" applyFont="1"/>
    <xf numFmtId="164" fontId="30" fillId="3" borderId="12" xfId="0" applyNumberFormat="1" applyFont="1" applyFill="1" applyBorder="1" applyAlignment="1">
      <alignment horizontal="center" vertical="center"/>
    </xf>
    <xf numFmtId="0" fontId="30" fillId="3" borderId="13" xfId="0" applyFont="1" applyFill="1" applyBorder="1" applyAlignment="1">
      <alignment horizontal="center" vertical="center"/>
    </xf>
    <xf numFmtId="0" fontId="30" fillId="3" borderId="13" xfId="0" applyFont="1" applyFill="1" applyBorder="1" applyAlignment="1">
      <alignment horizontal="center" vertical="center" wrapText="1"/>
    </xf>
    <xf numFmtId="0" fontId="30" fillId="3" borderId="18" xfId="0" applyFont="1" applyFill="1" applyBorder="1" applyAlignment="1">
      <alignment horizontal="center" vertical="center"/>
    </xf>
    <xf numFmtId="0" fontId="29" fillId="7" borderId="34" xfId="4" applyFont="1" applyFill="1" applyBorder="1" applyAlignment="1">
      <alignment horizontal="center" vertical="center" wrapText="1"/>
    </xf>
    <xf numFmtId="0" fontId="25" fillId="2" borderId="0" xfId="0" applyFont="1" applyFill="1"/>
    <xf numFmtId="0" fontId="31" fillId="0" borderId="0" xfId="4" applyFont="1"/>
    <xf numFmtId="0" fontId="32" fillId="2" borderId="0" xfId="0" applyFont="1" applyFill="1"/>
    <xf numFmtId="0" fontId="27" fillId="0" borderId="0" xfId="4" applyFont="1"/>
    <xf numFmtId="0" fontId="6" fillId="2" borderId="0" xfId="0" applyFont="1" applyFill="1" applyAlignment="1">
      <alignment horizontal="center" wrapText="1"/>
    </xf>
    <xf numFmtId="0" fontId="6" fillId="2" borderId="26" xfId="0" applyFont="1" applyFill="1" applyBorder="1" applyAlignment="1">
      <alignment horizontal="center" wrapText="1"/>
    </xf>
    <xf numFmtId="0" fontId="7" fillId="2" borderId="27" xfId="0" applyFont="1" applyFill="1" applyBorder="1" applyAlignment="1">
      <alignment horizontal="center"/>
    </xf>
    <xf numFmtId="0" fontId="5" fillId="2" borderId="19" xfId="2" applyFont="1" applyFill="1" applyBorder="1" applyAlignment="1">
      <alignment horizontal="left" vertical="center" wrapText="1"/>
    </xf>
    <xf numFmtId="0" fontId="5" fillId="2" borderId="21" xfId="2" applyFont="1" applyFill="1" applyBorder="1" applyAlignment="1">
      <alignment horizontal="left" vertical="center" wrapText="1"/>
    </xf>
    <xf numFmtId="0" fontId="5" fillId="2" borderId="24" xfId="2" applyFont="1" applyFill="1" applyBorder="1" applyAlignment="1">
      <alignment horizontal="left" vertical="center" wrapText="1"/>
    </xf>
    <xf numFmtId="0" fontId="22" fillId="4" borderId="19" xfId="2" applyFont="1" applyFill="1" applyBorder="1" applyAlignment="1">
      <alignment horizontal="left" vertical="center" wrapText="1"/>
    </xf>
    <xf numFmtId="0" fontId="22" fillId="4" borderId="21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wrapText="1"/>
    </xf>
    <xf numFmtId="0" fontId="5" fillId="2" borderId="22" xfId="2" applyFont="1" applyFill="1" applyBorder="1" applyAlignment="1">
      <alignment horizontal="left" wrapText="1"/>
    </xf>
    <xf numFmtId="0" fontId="5" fillId="2" borderId="23" xfId="2" applyFont="1" applyFill="1" applyBorder="1" applyAlignment="1">
      <alignment horizontal="left" wrapText="1"/>
    </xf>
    <xf numFmtId="0" fontId="15" fillId="5" borderId="20" xfId="2" applyFont="1" applyFill="1" applyBorder="1" applyAlignment="1">
      <alignment horizontal="center" vertical="center" wrapText="1"/>
    </xf>
    <xf numFmtId="0" fontId="15" fillId="5" borderId="28" xfId="2" applyFont="1" applyFill="1" applyBorder="1" applyAlignment="1">
      <alignment horizontal="center" vertical="center" wrapText="1"/>
    </xf>
    <xf numFmtId="0" fontId="5" fillId="2" borderId="19" xfId="2" applyFont="1" applyFill="1" applyBorder="1" applyAlignment="1">
      <alignment horizontal="left" vertical="top" wrapText="1"/>
    </xf>
    <xf numFmtId="0" fontId="5" fillId="2" borderId="21" xfId="2" applyFont="1" applyFill="1" applyBorder="1" applyAlignment="1">
      <alignment horizontal="left" vertical="top" wrapText="1"/>
    </xf>
    <xf numFmtId="0" fontId="5" fillId="2" borderId="24" xfId="2" applyFont="1" applyFill="1" applyBorder="1" applyAlignment="1">
      <alignment horizontal="left" vertical="top" wrapText="1"/>
    </xf>
    <xf numFmtId="0" fontId="20" fillId="6" borderId="21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15" fillId="5" borderId="1" xfId="2" applyFont="1" applyFill="1" applyBorder="1" applyAlignment="1">
      <alignment horizontal="center" vertical="center" wrapText="1"/>
    </xf>
    <xf numFmtId="0" fontId="15" fillId="5" borderId="28" xfId="2" applyFont="1" applyFill="1" applyBorder="1" applyAlignment="1">
      <alignment vertical="center" wrapText="1"/>
    </xf>
    <xf numFmtId="0" fontId="15" fillId="5" borderId="1" xfId="2" applyFont="1" applyFill="1" applyBorder="1" applyAlignment="1">
      <alignment vertical="center" wrapText="1"/>
    </xf>
    <xf numFmtId="0" fontId="22" fillId="4" borderId="19" xfId="2" applyFont="1" applyFill="1" applyBorder="1" applyAlignment="1">
      <alignment horizontal="center" vertical="center" wrapText="1"/>
    </xf>
    <xf numFmtId="0" fontId="22" fillId="4" borderId="21" xfId="2" applyFont="1" applyFill="1" applyBorder="1" applyAlignment="1">
      <alignment horizontal="center" vertical="center" wrapText="1"/>
    </xf>
    <xf numFmtId="0" fontId="22" fillId="0" borderId="19" xfId="0" applyFont="1" applyBorder="1" applyAlignment="1">
      <alignment horizontal="left" vertical="top" wrapText="1"/>
    </xf>
    <xf numFmtId="0" fontId="22" fillId="0" borderId="21" xfId="0" applyFont="1" applyBorder="1" applyAlignment="1">
      <alignment horizontal="left" vertical="top" wrapText="1"/>
    </xf>
    <xf numFmtId="0" fontId="15" fillId="5" borderId="33" xfId="2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left" vertical="top" wrapText="1"/>
    </xf>
    <xf numFmtId="0" fontId="7" fillId="0" borderId="19" xfId="0" applyFont="1" applyBorder="1" applyAlignment="1">
      <alignment horizontal="left" vertical="top" wrapText="1"/>
    </xf>
    <xf numFmtId="0" fontId="15" fillId="5" borderId="29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25" xfId="2" applyFont="1" applyFill="1" applyBorder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7" fillId="0" borderId="35" xfId="0" applyFont="1" applyBorder="1" applyAlignment="1">
      <alignment horizontal="left" vertical="top" wrapText="1"/>
    </xf>
    <xf numFmtId="0" fontId="7" fillId="0" borderId="36" xfId="0" applyFont="1" applyBorder="1" applyAlignment="1">
      <alignment horizontal="left" vertical="top" wrapText="1"/>
    </xf>
    <xf numFmtId="0" fontId="7" fillId="0" borderId="37" xfId="0" applyFont="1" applyBorder="1" applyAlignment="1">
      <alignment horizontal="left" vertical="top" wrapText="1"/>
    </xf>
    <xf numFmtId="0" fontId="23" fillId="0" borderId="1" xfId="0" applyFont="1" applyBorder="1" applyAlignment="1">
      <alignment horizontal="left" vertical="top" wrapText="1"/>
    </xf>
    <xf numFmtId="0" fontId="22" fillId="4" borderId="31" xfId="2" applyFont="1" applyFill="1" applyBorder="1" applyAlignment="1">
      <alignment horizontal="left" vertical="center" wrapText="1"/>
    </xf>
    <xf numFmtId="0" fontId="7" fillId="0" borderId="32" xfId="0" applyFont="1" applyBorder="1" applyAlignment="1">
      <alignment horizontal="left" vertical="top" wrapText="1"/>
    </xf>
    <xf numFmtId="165" fontId="7" fillId="0" borderId="33" xfId="0" applyNumberFormat="1" applyFont="1" applyFill="1" applyBorder="1" applyAlignment="1">
      <alignment horizontal="left" vertical="top" wrapText="1"/>
    </xf>
    <xf numFmtId="0" fontId="5" fillId="0" borderId="1" xfId="0" applyFont="1" applyBorder="1" applyAlignment="1">
      <alignment vertical="top" wrapText="1"/>
    </xf>
    <xf numFmtId="0" fontId="5" fillId="0" borderId="17" xfId="0" applyFont="1" applyBorder="1" applyAlignment="1">
      <alignment vertical="top" wrapText="1"/>
    </xf>
    <xf numFmtId="0" fontId="5" fillId="0" borderId="19" xfId="0" applyFont="1" applyBorder="1" applyAlignment="1">
      <alignment horizontal="left" vertical="top" wrapText="1"/>
    </xf>
    <xf numFmtId="0" fontId="5" fillId="0" borderId="21" xfId="0" applyFont="1" applyBorder="1" applyAlignment="1">
      <alignment horizontal="left" vertical="top" wrapText="1"/>
    </xf>
    <xf numFmtId="0" fontId="5" fillId="0" borderId="17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165" fontId="7" fillId="0" borderId="19" xfId="0" applyNumberFormat="1" applyFont="1" applyBorder="1" applyAlignment="1">
      <alignment horizontal="left" vertical="top" wrapText="1"/>
    </xf>
    <xf numFmtId="0" fontId="10" fillId="2" borderId="15" xfId="2" applyFont="1" applyFill="1" applyBorder="1" applyAlignment="1">
      <alignment horizontal="left" vertical="top" wrapText="1"/>
    </xf>
    <xf numFmtId="0" fontId="10" fillId="2" borderId="2" xfId="2" applyFont="1" applyFill="1" applyBorder="1" applyAlignment="1">
      <alignment horizontal="left" vertical="top" wrapText="1"/>
    </xf>
  </cellXfs>
  <cellStyles count="5">
    <cellStyle name="Normal" xfId="0" builtinId="0"/>
    <cellStyle name="Normal 2" xfId="4"/>
    <cellStyle name="Normal_Functional Test Case v1.0" xfId="1"/>
    <cellStyle name="Normal_Sheet1_Vanco_CR022a1_TestCase_v0.1" xfId="2"/>
    <cellStyle name="標準_結合試験(AllOvertheWorld)" xfId="3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6"/>
  <sheetViews>
    <sheetView showGridLines="0" topLeftCell="A7" zoomScale="86" zoomScaleNormal="86" workbookViewId="0">
      <selection activeCell="B27" sqref="B27"/>
    </sheetView>
  </sheetViews>
  <sheetFormatPr defaultColWidth="9" defaultRowHeight="14.25"/>
  <cols>
    <col min="1" max="1" width="9" style="1"/>
    <col min="2" max="2" width="19.875" style="1" bestFit="1" customWidth="1"/>
    <col min="3" max="3" width="23.125" style="1" bestFit="1" customWidth="1"/>
    <col min="4" max="4" width="18.5" style="1" bestFit="1" customWidth="1"/>
    <col min="5" max="5" width="52" style="1" bestFit="1" customWidth="1"/>
    <col min="6" max="6" width="28.5" style="1" bestFit="1" customWidth="1"/>
    <col min="7" max="7" width="11.125" style="1" bestFit="1" customWidth="1"/>
    <col min="8" max="8" width="31.625" style="1" bestFit="1" customWidth="1"/>
    <col min="9" max="16384" width="9" style="1"/>
  </cols>
  <sheetData>
    <row r="2" spans="1:9" ht="25.5">
      <c r="A2" s="23"/>
      <c r="B2" s="92" t="s">
        <v>7</v>
      </c>
      <c r="C2" s="23"/>
      <c r="D2" s="23"/>
      <c r="E2" s="23"/>
      <c r="F2" s="23"/>
      <c r="G2" s="23"/>
    </row>
    <row r="3" spans="1:9" ht="16.5">
      <c r="A3" s="23"/>
      <c r="B3" s="90" t="s">
        <v>33</v>
      </c>
      <c r="C3" s="93" t="s">
        <v>101</v>
      </c>
      <c r="D3" s="80"/>
      <c r="E3" s="80"/>
      <c r="F3" s="80"/>
      <c r="G3" s="80"/>
      <c r="H3" s="80"/>
      <c r="I3" s="80"/>
    </row>
    <row r="4" spans="1:9" ht="16.5">
      <c r="A4" s="23"/>
      <c r="B4" s="90" t="s">
        <v>16</v>
      </c>
      <c r="C4" s="93" t="s">
        <v>117</v>
      </c>
      <c r="D4" s="80"/>
      <c r="E4" s="80"/>
      <c r="F4" s="80"/>
      <c r="G4" s="80"/>
      <c r="H4" s="80"/>
      <c r="I4" s="80"/>
    </row>
    <row r="5" spans="1:9" ht="16.5">
      <c r="A5" s="23"/>
      <c r="B5" s="90"/>
      <c r="C5" s="80"/>
      <c r="D5" s="80"/>
      <c r="E5" s="80"/>
      <c r="F5" s="80"/>
      <c r="G5" s="80"/>
      <c r="H5" s="80"/>
      <c r="I5" s="80"/>
    </row>
    <row r="6" spans="1:9" ht="14.25" customHeight="1">
      <c r="A6" s="23"/>
      <c r="B6" s="90" t="s">
        <v>34</v>
      </c>
      <c r="C6" s="81" t="s">
        <v>118</v>
      </c>
      <c r="D6" s="80"/>
      <c r="E6" s="91"/>
      <c r="F6" s="80"/>
      <c r="G6" s="80"/>
      <c r="H6" s="80"/>
      <c r="I6" s="80"/>
    </row>
    <row r="7" spans="1:9" ht="13.9" customHeight="1">
      <c r="A7" s="23"/>
      <c r="B7" s="90" t="s">
        <v>35</v>
      </c>
      <c r="C7" s="81" t="s">
        <v>119</v>
      </c>
      <c r="D7" s="80"/>
      <c r="E7" s="80"/>
      <c r="F7" s="80"/>
      <c r="G7" s="80"/>
      <c r="H7" s="80"/>
      <c r="I7" s="80"/>
    </row>
    <row r="8" spans="1:9" ht="16.5">
      <c r="A8" s="23"/>
      <c r="B8" s="90"/>
      <c r="C8" s="23"/>
      <c r="D8" s="23"/>
      <c r="E8" s="23"/>
      <c r="F8" s="23"/>
      <c r="G8" s="23"/>
    </row>
    <row r="9" spans="1:9" ht="16.5">
      <c r="A9" s="23"/>
      <c r="B9" s="82"/>
      <c r="C9" s="17"/>
      <c r="D9" s="17"/>
      <c r="E9" s="17"/>
      <c r="F9" s="23"/>
      <c r="G9" s="23"/>
    </row>
    <row r="10" spans="1:9" ht="16.5">
      <c r="B10" s="83" t="s">
        <v>25</v>
      </c>
      <c r="C10" s="84"/>
      <c r="D10" s="84"/>
      <c r="E10" s="84"/>
      <c r="F10" s="84"/>
      <c r="G10" s="84"/>
      <c r="H10" s="84"/>
    </row>
    <row r="11" spans="1:9" s="29" customFormat="1" ht="33">
      <c r="B11" s="85" t="s">
        <v>13</v>
      </c>
      <c r="C11" s="86" t="s">
        <v>26</v>
      </c>
      <c r="D11" s="86" t="s">
        <v>9</v>
      </c>
      <c r="E11" s="86" t="s">
        <v>10</v>
      </c>
      <c r="F11" s="86" t="s">
        <v>15</v>
      </c>
      <c r="G11" s="87" t="s">
        <v>14</v>
      </c>
      <c r="H11" s="88" t="s">
        <v>27</v>
      </c>
    </row>
    <row r="12" spans="1:9" s="29" customFormat="1" ht="49.9" customHeight="1">
      <c r="B12" s="89" t="s">
        <v>58</v>
      </c>
      <c r="C12" s="89" t="s">
        <v>40</v>
      </c>
      <c r="D12" s="89"/>
      <c r="E12" s="89" t="s">
        <v>59</v>
      </c>
      <c r="F12" s="89" t="s">
        <v>60</v>
      </c>
      <c r="G12" s="89"/>
      <c r="H12" s="89" t="s">
        <v>61</v>
      </c>
    </row>
    <row r="13" spans="1:9" s="29" customFormat="1" ht="49.9" customHeight="1">
      <c r="B13" s="89" t="s">
        <v>62</v>
      </c>
      <c r="C13" s="89" t="s">
        <v>46</v>
      </c>
      <c r="D13" s="89" t="s">
        <v>63</v>
      </c>
      <c r="E13" s="89" t="s">
        <v>64</v>
      </c>
      <c r="F13" s="89" t="s">
        <v>60</v>
      </c>
      <c r="G13" s="89"/>
      <c r="H13" s="89" t="s">
        <v>65</v>
      </c>
    </row>
    <row r="14" spans="1:9" s="30" customFormat="1" ht="49.9" customHeight="1">
      <c r="B14" s="89" t="s">
        <v>66</v>
      </c>
      <c r="C14" s="89" t="s">
        <v>46</v>
      </c>
      <c r="D14" s="89" t="s">
        <v>67</v>
      </c>
      <c r="E14" s="89" t="s">
        <v>68</v>
      </c>
      <c r="F14" s="89" t="s">
        <v>60</v>
      </c>
      <c r="G14" s="89"/>
      <c r="H14" s="89" t="s">
        <v>69</v>
      </c>
    </row>
    <row r="15" spans="1:9" s="30" customFormat="1" ht="49.9" customHeight="1">
      <c r="B15" s="89" t="s">
        <v>70</v>
      </c>
      <c r="C15" s="89" t="s">
        <v>47</v>
      </c>
      <c r="D15" s="89" t="s">
        <v>71</v>
      </c>
      <c r="E15" s="89" t="s">
        <v>72</v>
      </c>
      <c r="F15" s="89" t="s">
        <v>73</v>
      </c>
      <c r="G15" s="89"/>
      <c r="H15" s="89" t="s">
        <v>74</v>
      </c>
    </row>
    <row r="16" spans="1:9" s="29" customFormat="1" ht="49.9" customHeight="1">
      <c r="B16" s="89" t="s">
        <v>75</v>
      </c>
      <c r="C16" s="89" t="s">
        <v>47</v>
      </c>
      <c r="D16" s="89" t="s">
        <v>76</v>
      </c>
      <c r="E16" s="89" t="s">
        <v>77</v>
      </c>
      <c r="F16" s="89" t="s">
        <v>78</v>
      </c>
      <c r="G16" s="89" t="s">
        <v>60</v>
      </c>
      <c r="H16" s="89" t="s">
        <v>79</v>
      </c>
    </row>
    <row r="17" spans="2:8" s="29" customFormat="1" ht="49.9" customHeight="1">
      <c r="B17" s="89" t="s">
        <v>80</v>
      </c>
      <c r="C17" s="89" t="s">
        <v>47</v>
      </c>
      <c r="D17" s="89" t="s">
        <v>81</v>
      </c>
      <c r="E17" s="89" t="s">
        <v>82</v>
      </c>
      <c r="F17" s="89" t="s">
        <v>60</v>
      </c>
      <c r="G17" s="89"/>
      <c r="H17" s="89" t="s">
        <v>83</v>
      </c>
    </row>
    <row r="18" spans="2:8" s="29" customFormat="1" ht="49.9" customHeight="1">
      <c r="B18" s="89" t="s">
        <v>84</v>
      </c>
      <c r="C18" s="89" t="s">
        <v>85</v>
      </c>
      <c r="D18" s="89" t="s">
        <v>86</v>
      </c>
      <c r="E18" s="89" t="s">
        <v>87</v>
      </c>
      <c r="F18" s="89" t="s">
        <v>88</v>
      </c>
      <c r="G18" s="89" t="s">
        <v>60</v>
      </c>
      <c r="H18" s="89" t="s">
        <v>89</v>
      </c>
    </row>
    <row r="19" spans="2:8" s="29" customFormat="1" ht="49.9" customHeight="1">
      <c r="B19" s="89" t="s">
        <v>84</v>
      </c>
      <c r="C19" s="89" t="s">
        <v>85</v>
      </c>
      <c r="D19" s="89" t="s">
        <v>90</v>
      </c>
      <c r="E19" s="89" t="s">
        <v>91</v>
      </c>
      <c r="F19" s="89" t="s">
        <v>78</v>
      </c>
      <c r="G19" s="89" t="s">
        <v>60</v>
      </c>
      <c r="H19" s="89" t="s">
        <v>92</v>
      </c>
    </row>
    <row r="20" spans="2:8" s="29" customFormat="1" ht="49.9" customHeight="1">
      <c r="B20" s="89" t="s">
        <v>93</v>
      </c>
      <c r="C20" s="89" t="s">
        <v>85</v>
      </c>
      <c r="D20" s="89" t="s">
        <v>94</v>
      </c>
      <c r="E20" s="89" t="s">
        <v>95</v>
      </c>
      <c r="F20" s="89" t="s">
        <v>60</v>
      </c>
      <c r="G20" s="89"/>
      <c r="H20" s="89" t="s">
        <v>96</v>
      </c>
    </row>
    <row r="21" spans="2:8" s="29" customFormat="1" ht="49.9" customHeight="1">
      <c r="B21" s="89" t="s">
        <v>97</v>
      </c>
      <c r="C21" s="89" t="s">
        <v>85</v>
      </c>
      <c r="D21" s="89" t="s">
        <v>98</v>
      </c>
      <c r="E21" s="89" t="s">
        <v>99</v>
      </c>
      <c r="F21" s="89" t="s">
        <v>60</v>
      </c>
      <c r="G21" s="89"/>
      <c r="H21" s="89" t="s">
        <v>100</v>
      </c>
    </row>
    <row r="22" spans="2:8" s="29" customFormat="1" ht="49.9" customHeight="1">
      <c r="B22" s="89" t="s">
        <v>97</v>
      </c>
      <c r="C22" s="89" t="s">
        <v>101</v>
      </c>
      <c r="D22" s="89" t="s">
        <v>102</v>
      </c>
      <c r="E22" s="89" t="s">
        <v>103</v>
      </c>
      <c r="F22" s="89" t="s">
        <v>78</v>
      </c>
      <c r="G22" s="89" t="s">
        <v>60</v>
      </c>
      <c r="H22" s="89" t="s">
        <v>104</v>
      </c>
    </row>
    <row r="23" spans="2:8" s="29" customFormat="1" ht="49.9" customHeight="1">
      <c r="B23" s="89" t="s">
        <v>105</v>
      </c>
      <c r="C23" s="89" t="s">
        <v>101</v>
      </c>
      <c r="D23" s="89" t="s">
        <v>86</v>
      </c>
      <c r="E23" s="89" t="s">
        <v>106</v>
      </c>
      <c r="F23" s="89" t="s">
        <v>60</v>
      </c>
      <c r="G23" s="89"/>
      <c r="H23" s="89" t="s">
        <v>107</v>
      </c>
    </row>
    <row r="24" spans="2:8" ht="49.9" customHeight="1">
      <c r="B24" s="89" t="s">
        <v>105</v>
      </c>
      <c r="C24" s="89" t="s">
        <v>101</v>
      </c>
      <c r="D24" s="89" t="s">
        <v>108</v>
      </c>
      <c r="E24" s="89" t="s">
        <v>109</v>
      </c>
      <c r="F24" s="89" t="s">
        <v>88</v>
      </c>
      <c r="G24" s="89" t="s">
        <v>60</v>
      </c>
      <c r="H24" s="89" t="s">
        <v>110</v>
      </c>
    </row>
    <row r="25" spans="2:8" ht="49.9" customHeight="1">
      <c r="B25" s="89" t="s">
        <v>105</v>
      </c>
      <c r="C25" s="89" t="s">
        <v>101</v>
      </c>
      <c r="D25" s="89" t="s">
        <v>94</v>
      </c>
      <c r="E25" s="89" t="s">
        <v>111</v>
      </c>
      <c r="F25" s="89" t="s">
        <v>78</v>
      </c>
      <c r="G25" s="89" t="s">
        <v>60</v>
      </c>
      <c r="H25" s="89" t="s">
        <v>112</v>
      </c>
    </row>
    <row r="26" spans="2:8" ht="49.9" customHeight="1">
      <c r="B26" s="89" t="s">
        <v>113</v>
      </c>
      <c r="C26" s="89" t="s">
        <v>101</v>
      </c>
      <c r="D26" s="89" t="s">
        <v>114</v>
      </c>
      <c r="E26" s="89" t="s">
        <v>115</v>
      </c>
      <c r="F26" s="89" t="s">
        <v>60</v>
      </c>
      <c r="G26" s="89" t="s">
        <v>60</v>
      </c>
      <c r="H26" s="89" t="s">
        <v>116</v>
      </c>
    </row>
  </sheetData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Normal="100" workbookViewId="0">
      <selection activeCell="F16" sqref="F1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17"/>
    <col min="11" max="11" width="18" customWidth="1"/>
  </cols>
  <sheetData>
    <row r="1" spans="1:12" s="2" customFormat="1" ht="12.75" customHeight="1">
      <c r="A1" s="39" t="s">
        <v>7</v>
      </c>
      <c r="B1" s="94"/>
      <c r="C1" s="94"/>
      <c r="D1" s="94"/>
      <c r="E1" s="5"/>
      <c r="F1" s="5"/>
      <c r="G1" s="5"/>
      <c r="H1" s="5"/>
      <c r="I1" s="5"/>
      <c r="J1" s="71"/>
      <c r="K1" s="5"/>
      <c r="L1" s="6"/>
    </row>
    <row r="2" spans="1:12" s="2" customFormat="1" ht="11.25" customHeight="1" thickBot="1">
      <c r="A2" s="6"/>
      <c r="B2" s="95"/>
      <c r="C2" s="95"/>
      <c r="D2" s="95"/>
      <c r="E2" s="5"/>
      <c r="F2" s="5"/>
      <c r="G2" s="5"/>
      <c r="H2" s="5"/>
      <c r="I2" s="5"/>
      <c r="J2" s="71"/>
      <c r="K2" s="5"/>
      <c r="L2" s="6"/>
    </row>
    <row r="3" spans="1:12" s="3" customFormat="1" ht="15" customHeight="1">
      <c r="A3" s="40" t="s">
        <v>36</v>
      </c>
      <c r="B3" s="105" t="s">
        <v>48</v>
      </c>
      <c r="C3" s="105"/>
      <c r="D3" s="106"/>
      <c r="E3" s="43"/>
      <c r="F3" s="43"/>
      <c r="G3" s="43"/>
      <c r="H3" s="43"/>
      <c r="I3" s="104"/>
      <c r="J3" s="104"/>
      <c r="K3" s="104"/>
      <c r="L3" s="8"/>
    </row>
    <row r="4" spans="1:12" s="3" customFormat="1" ht="12.75">
      <c r="A4" s="45" t="s">
        <v>37</v>
      </c>
      <c r="B4" s="109" t="s">
        <v>49</v>
      </c>
      <c r="C4" s="110"/>
      <c r="D4" s="111"/>
      <c r="E4" s="43"/>
      <c r="F4" s="43"/>
      <c r="G4" s="43"/>
      <c r="H4" s="43"/>
      <c r="I4" s="104"/>
      <c r="J4" s="104"/>
      <c r="K4" s="104"/>
      <c r="L4" s="8"/>
    </row>
    <row r="5" spans="1:12" s="53" customFormat="1" ht="25.5">
      <c r="A5" s="45" t="s">
        <v>30</v>
      </c>
      <c r="B5" s="97" t="s">
        <v>50</v>
      </c>
      <c r="C5" s="98"/>
      <c r="D5" s="99"/>
      <c r="E5" s="51"/>
      <c r="F5" s="51"/>
      <c r="G5" s="51"/>
      <c r="H5" s="51"/>
      <c r="I5" s="103"/>
      <c r="J5" s="103"/>
      <c r="K5" s="103"/>
      <c r="L5" s="52"/>
    </row>
    <row r="6" spans="1:12" s="3" customFormat="1" ht="15" customHeight="1">
      <c r="A6" s="10" t="s">
        <v>38</v>
      </c>
      <c r="B6" s="61">
        <f>COUNTIF(J12:J17,"Pass")</f>
        <v>3</v>
      </c>
      <c r="C6" s="9" t="s">
        <v>39</v>
      </c>
      <c r="D6" s="11">
        <f>COUNTIF(J10:J736,"Pending")</f>
        <v>0</v>
      </c>
      <c r="E6" s="7"/>
      <c r="F6" s="7"/>
      <c r="G6" s="7"/>
      <c r="H6" s="7"/>
      <c r="I6" s="104"/>
      <c r="J6" s="104"/>
      <c r="K6" s="104"/>
      <c r="L6" s="8"/>
    </row>
    <row r="7" spans="1:12" s="3" customFormat="1" ht="15" customHeight="1" thickBot="1">
      <c r="A7" s="12" t="s">
        <v>5</v>
      </c>
      <c r="B7" s="62">
        <f>COUNTIF(J12:J17,"Fail")</f>
        <v>0</v>
      </c>
      <c r="C7" s="24" t="s">
        <v>29</v>
      </c>
      <c r="D7" s="41">
        <f>COUNTA(A12:A17) -15</f>
        <v>-9</v>
      </c>
      <c r="E7" s="44"/>
      <c r="F7" s="44"/>
      <c r="G7" s="44"/>
      <c r="H7" s="44"/>
      <c r="I7" s="104"/>
      <c r="J7" s="104"/>
      <c r="K7" s="104"/>
      <c r="L7" s="8"/>
    </row>
    <row r="8" spans="1:12" s="3" customFormat="1" ht="15" customHeight="1">
      <c r="A8" s="96"/>
      <c r="B8" s="96"/>
      <c r="C8" s="96"/>
      <c r="D8" s="96"/>
      <c r="E8" s="7"/>
      <c r="F8" s="7"/>
      <c r="G8" s="7"/>
      <c r="H8" s="7"/>
      <c r="I8" s="7"/>
      <c r="J8" s="72"/>
      <c r="K8" s="72"/>
      <c r="L8" s="8"/>
    </row>
    <row r="9" spans="1:12" s="55" customFormat="1" ht="12" customHeight="1">
      <c r="A9" s="108" t="s">
        <v>31</v>
      </c>
      <c r="B9" s="115" t="s">
        <v>8</v>
      </c>
      <c r="C9" s="108" t="s">
        <v>17</v>
      </c>
      <c r="D9" s="124" t="s">
        <v>55</v>
      </c>
      <c r="E9" s="125"/>
      <c r="F9" s="125"/>
      <c r="G9" s="126"/>
      <c r="H9" s="121" t="s">
        <v>56</v>
      </c>
      <c r="I9" s="107" t="s">
        <v>28</v>
      </c>
      <c r="J9" s="107" t="s">
        <v>57</v>
      </c>
      <c r="K9" s="107" t="s">
        <v>32</v>
      </c>
      <c r="L9" s="54"/>
    </row>
    <row r="10" spans="1:12" s="3" customFormat="1" ht="12" customHeight="1">
      <c r="A10" s="114"/>
      <c r="B10" s="116"/>
      <c r="C10" s="114"/>
      <c r="D10" s="127"/>
      <c r="E10" s="128"/>
      <c r="F10" s="128"/>
      <c r="G10" s="129"/>
      <c r="H10" s="108"/>
      <c r="I10" s="108"/>
      <c r="J10" s="108"/>
      <c r="K10" s="108"/>
      <c r="L10" s="8"/>
    </row>
    <row r="11" spans="1:12" s="56" customFormat="1" ht="15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3"/>
    </row>
    <row r="12" spans="1:12" s="4" customFormat="1" ht="12.75">
      <c r="A12" s="100" t="s">
        <v>51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2"/>
    </row>
    <row r="13" spans="1:12" s="4" customFormat="1" ht="76.5" outlineLevel="1">
      <c r="A13" s="60" t="s">
        <v>2</v>
      </c>
      <c r="B13" s="63" t="s">
        <v>41</v>
      </c>
      <c r="C13" s="59" t="s">
        <v>52</v>
      </c>
      <c r="D13" s="123" t="s">
        <v>43</v>
      </c>
      <c r="E13" s="122"/>
      <c r="F13" s="122"/>
      <c r="G13" s="58"/>
      <c r="H13" s="73"/>
      <c r="I13" s="69"/>
      <c r="J13" s="59" t="s">
        <v>38</v>
      </c>
      <c r="K13" s="57"/>
    </row>
    <row r="14" spans="1:12" s="4" customFormat="1" ht="12.75" outlineLevel="1">
      <c r="A14" s="117" t="s">
        <v>44</v>
      </c>
      <c r="B14" s="118"/>
      <c r="C14" s="118"/>
      <c r="D14" s="67"/>
      <c r="E14" s="67"/>
      <c r="F14" s="67"/>
      <c r="G14" s="67"/>
      <c r="H14" s="67"/>
      <c r="I14" s="67"/>
      <c r="J14" s="67"/>
      <c r="K14" s="68"/>
    </row>
    <row r="15" spans="1:12" s="4" customFormat="1" ht="63.75" customHeight="1" outlineLevel="1">
      <c r="A15" s="60" t="s">
        <v>3</v>
      </c>
      <c r="B15" s="65" t="s">
        <v>42</v>
      </c>
      <c r="C15" s="66" t="s">
        <v>53</v>
      </c>
      <c r="D15" s="119" t="s">
        <v>1</v>
      </c>
      <c r="E15" s="122"/>
      <c r="F15" s="122"/>
      <c r="G15" s="58"/>
      <c r="H15" s="73"/>
      <c r="I15" s="64"/>
      <c r="J15" s="59" t="s">
        <v>38</v>
      </c>
      <c r="K15" s="57"/>
    </row>
    <row r="16" spans="1:12" s="4" customFormat="1" ht="12.75" outlineLevel="1">
      <c r="A16" s="117" t="s">
        <v>45</v>
      </c>
      <c r="B16" s="118"/>
      <c r="C16" s="118"/>
      <c r="D16" s="67"/>
      <c r="E16" s="67"/>
      <c r="F16" s="67"/>
      <c r="G16" s="67"/>
      <c r="H16" s="67"/>
      <c r="I16" s="67"/>
      <c r="J16" s="67"/>
      <c r="K16" s="68"/>
    </row>
    <row r="17" spans="1:11" s="4" customFormat="1" ht="63.75" customHeight="1" outlineLevel="1">
      <c r="A17" s="60" t="s">
        <v>4</v>
      </c>
      <c r="B17" s="74" t="s">
        <v>42</v>
      </c>
      <c r="C17" s="59" t="s">
        <v>54</v>
      </c>
      <c r="D17" s="119" t="s">
        <v>0</v>
      </c>
      <c r="E17" s="120"/>
      <c r="F17" s="120"/>
      <c r="G17" s="58"/>
      <c r="H17" s="73"/>
      <c r="I17" s="64"/>
      <c r="J17" s="59" t="s">
        <v>38</v>
      </c>
      <c r="K17" s="57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J9:J10"/>
    <mergeCell ref="A16:C16"/>
    <mergeCell ref="D17:F17"/>
    <mergeCell ref="H9:H10"/>
    <mergeCell ref="D15:F15"/>
    <mergeCell ref="D13:F13"/>
    <mergeCell ref="C9:C10"/>
    <mergeCell ref="D9:G10"/>
    <mergeCell ref="A14:C14"/>
    <mergeCell ref="B1:D2"/>
    <mergeCell ref="A8:D8"/>
    <mergeCell ref="B5:D5"/>
    <mergeCell ref="A12:K12"/>
    <mergeCell ref="I5:K5"/>
    <mergeCell ref="I6:K6"/>
    <mergeCell ref="I7:K7"/>
    <mergeCell ref="B3:D3"/>
    <mergeCell ref="I4:K4"/>
    <mergeCell ref="K9:K10"/>
    <mergeCell ref="I3:K3"/>
    <mergeCell ref="B4:D4"/>
    <mergeCell ref="I9:I10"/>
    <mergeCell ref="A11:K11"/>
    <mergeCell ref="A9:A10"/>
    <mergeCell ref="B9:B10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4" sqref="C4"/>
    </sheetView>
  </sheetViews>
  <sheetFormatPr defaultColWidth="8.75" defaultRowHeight="13.5"/>
  <cols>
    <col min="3" max="3" width="22.75" customWidth="1"/>
    <col min="7" max="7" width="18.75" customWidth="1"/>
  </cols>
  <sheetData>
    <row r="1" spans="1:7" ht="22.5">
      <c r="A1" s="13" t="s">
        <v>12</v>
      </c>
      <c r="B1" s="14"/>
      <c r="C1" s="15"/>
      <c r="D1" s="15"/>
      <c r="E1" s="15"/>
      <c r="F1" s="15"/>
      <c r="G1" s="16"/>
    </row>
    <row r="2" spans="1:7" ht="14.25" customHeight="1">
      <c r="A2" s="13"/>
      <c r="B2" s="14"/>
      <c r="C2" s="15"/>
      <c r="D2" s="15"/>
      <c r="E2" s="15"/>
      <c r="F2" s="15"/>
      <c r="G2" s="16"/>
    </row>
    <row r="3" spans="1:7" ht="14.25">
      <c r="B3" s="17" t="s">
        <v>11</v>
      </c>
      <c r="C3" s="15"/>
      <c r="D3" s="15"/>
      <c r="E3" s="15"/>
      <c r="F3" s="15"/>
      <c r="G3" s="16"/>
    </row>
    <row r="4" spans="1:7" ht="14.25">
      <c r="B4" s="17" t="s">
        <v>6</v>
      </c>
      <c r="C4" s="70"/>
      <c r="D4" s="17"/>
      <c r="E4" s="17"/>
      <c r="F4" s="17"/>
      <c r="G4" s="17"/>
    </row>
    <row r="5" spans="1:7" ht="14.25">
      <c r="A5" s="17"/>
      <c r="B5" s="17"/>
      <c r="C5" s="17"/>
      <c r="D5" s="17"/>
      <c r="E5" s="17"/>
      <c r="F5" s="17"/>
      <c r="G5" s="17"/>
    </row>
    <row r="6" spans="1:7" ht="14.25">
      <c r="A6" s="17"/>
      <c r="B6" s="17"/>
      <c r="C6" s="17"/>
      <c r="D6" s="17"/>
      <c r="E6" s="17"/>
      <c r="F6" s="17"/>
      <c r="G6" s="17"/>
    </row>
    <row r="7" spans="1:7" ht="25.5">
      <c r="A7" s="17"/>
      <c r="B7" s="31" t="s">
        <v>18</v>
      </c>
      <c r="C7" s="32" t="s">
        <v>19</v>
      </c>
      <c r="D7" s="33" t="s">
        <v>38</v>
      </c>
      <c r="E7" s="32" t="s">
        <v>5</v>
      </c>
      <c r="F7" s="32" t="s">
        <v>39</v>
      </c>
      <c r="G7" s="34" t="s">
        <v>20</v>
      </c>
    </row>
    <row r="8" spans="1:7" s="42" customFormat="1" ht="14.25">
      <c r="A8" s="46"/>
      <c r="B8" s="47">
        <v>1</v>
      </c>
      <c r="C8" s="48" t="str">
        <f>Samples!B4</f>
        <v>CR100 - Export to excel</v>
      </c>
      <c r="D8" s="49">
        <f>Samples!B6</f>
        <v>3</v>
      </c>
      <c r="E8" s="48">
        <f>Samples!B7</f>
        <v>0</v>
      </c>
      <c r="F8" s="48">
        <f>Samples!D6</f>
        <v>0</v>
      </c>
      <c r="G8" s="49">
        <f>Samples!D7</f>
        <v>-9</v>
      </c>
    </row>
    <row r="9" spans="1:7" ht="14.25">
      <c r="A9" s="17"/>
      <c r="B9" s="27"/>
      <c r="C9" s="26"/>
      <c r="D9" s="50"/>
      <c r="E9" s="25"/>
      <c r="F9" s="25"/>
      <c r="G9" s="28"/>
    </row>
    <row r="10" spans="1:7" ht="14.25">
      <c r="A10" s="17"/>
      <c r="B10" s="35"/>
      <c r="C10" s="36" t="s">
        <v>21</v>
      </c>
      <c r="D10" s="37">
        <f>SUM(D6:D9)</f>
        <v>3</v>
      </c>
      <c r="E10" s="37">
        <f>SUM(E6:E9)</f>
        <v>0</v>
      </c>
      <c r="F10" s="37">
        <f>SUM(F6:F9)</f>
        <v>0</v>
      </c>
      <c r="G10" s="38">
        <f>SUM(G6:G9)</f>
        <v>-9</v>
      </c>
    </row>
    <row r="11" spans="1:7" ht="14.25">
      <c r="A11" s="17"/>
      <c r="B11" s="18"/>
      <c r="C11" s="17"/>
      <c r="D11" s="19"/>
      <c r="E11" s="20"/>
      <c r="F11" s="20"/>
      <c r="G11" s="20"/>
    </row>
    <row r="12" spans="1:7" ht="14.25">
      <c r="A12" s="17"/>
      <c r="B12" s="17"/>
      <c r="C12" s="17" t="s">
        <v>22</v>
      </c>
      <c r="D12" s="17"/>
      <c r="E12" s="21">
        <f>(D10+E10)*100/G10</f>
        <v>-33.333333333333336</v>
      </c>
      <c r="F12" s="17" t="s">
        <v>23</v>
      </c>
      <c r="G12" s="22"/>
    </row>
    <row r="13" spans="1:7" ht="14.25">
      <c r="A13" s="17"/>
      <c r="B13" s="17"/>
      <c r="C13" s="17" t="s">
        <v>24</v>
      </c>
      <c r="D13" s="17"/>
      <c r="E13" s="21">
        <f>D10*100/G10</f>
        <v>-33.333333333333336</v>
      </c>
      <c r="F13" s="17" t="s">
        <v>23</v>
      </c>
      <c r="G13" s="22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tabSelected="1" workbookViewId="0">
      <selection activeCell="F6" sqref="F6"/>
    </sheetView>
  </sheetViews>
  <sheetFormatPr defaultRowHeight="13.5"/>
  <cols>
    <col min="1" max="1" width="18.25" customWidth="1"/>
    <col min="2" max="2" width="26.625" customWidth="1"/>
    <col min="3" max="3" width="33.5" customWidth="1"/>
    <col min="6" max="6" width="17.625" customWidth="1"/>
    <col min="7" max="7" width="0.875" customWidth="1"/>
  </cols>
  <sheetData>
    <row r="1" spans="1:11" ht="14.25">
      <c r="A1" s="39" t="s">
        <v>7</v>
      </c>
      <c r="B1" s="94"/>
      <c r="C1" s="94"/>
      <c r="D1" s="94"/>
      <c r="E1" s="5"/>
      <c r="F1" s="5"/>
      <c r="G1" s="5"/>
      <c r="H1" s="5"/>
      <c r="I1" s="5"/>
      <c r="J1" s="71"/>
      <c r="K1" s="5"/>
    </row>
    <row r="2" spans="1:11" ht="15" thickBot="1">
      <c r="A2" s="6"/>
      <c r="B2" s="95"/>
      <c r="C2" s="95"/>
      <c r="D2" s="95"/>
      <c r="E2" s="5"/>
      <c r="F2" s="5"/>
      <c r="G2" s="5"/>
      <c r="H2" s="5"/>
      <c r="I2" s="5"/>
      <c r="J2" s="71"/>
      <c r="K2" s="5"/>
    </row>
    <row r="3" spans="1:11" ht="14.25">
      <c r="A3" s="144" t="s">
        <v>36</v>
      </c>
      <c r="B3" s="105" t="s">
        <v>120</v>
      </c>
      <c r="C3" s="105"/>
      <c r="D3" s="106"/>
      <c r="E3" s="43"/>
      <c r="F3" s="43"/>
      <c r="G3" s="43"/>
      <c r="H3" s="43"/>
      <c r="I3" s="104"/>
      <c r="J3" s="104"/>
      <c r="K3" s="104"/>
    </row>
    <row r="4" spans="1:11" ht="14.25">
      <c r="A4" s="45" t="s">
        <v>37</v>
      </c>
      <c r="B4" s="109" t="s">
        <v>121</v>
      </c>
      <c r="C4" s="110"/>
      <c r="D4" s="111"/>
      <c r="E4" s="43"/>
      <c r="F4" s="43"/>
      <c r="G4" s="43"/>
      <c r="H4" s="43"/>
      <c r="I4" s="104"/>
      <c r="J4" s="104"/>
      <c r="K4" s="104"/>
    </row>
    <row r="5" spans="1:11">
      <c r="A5" s="145" t="s">
        <v>30</v>
      </c>
      <c r="B5" s="97" t="s">
        <v>50</v>
      </c>
      <c r="C5" s="98"/>
      <c r="D5" s="99"/>
      <c r="E5" s="51"/>
      <c r="F5" s="51"/>
      <c r="G5" s="51"/>
      <c r="H5" s="51"/>
      <c r="I5" s="103"/>
      <c r="J5" s="103"/>
      <c r="K5" s="103"/>
    </row>
    <row r="6" spans="1:11" ht="14.25">
      <c r="A6" s="10" t="s">
        <v>38</v>
      </c>
      <c r="B6" s="61">
        <f>COUNTIF(J12:J23,"Pass")</f>
        <v>0</v>
      </c>
      <c r="C6" s="9" t="s">
        <v>39</v>
      </c>
      <c r="D6" s="11">
        <f>COUNTIF(J10:J741,"Pending")</f>
        <v>10</v>
      </c>
      <c r="E6" s="79"/>
      <c r="F6" s="79"/>
      <c r="G6" s="79"/>
      <c r="H6" s="79"/>
      <c r="I6" s="104"/>
      <c r="J6" s="104"/>
      <c r="K6" s="104"/>
    </row>
    <row r="7" spans="1:11" ht="15" thickBot="1">
      <c r="A7" s="12" t="s">
        <v>5</v>
      </c>
      <c r="B7" s="62">
        <f>COUNTIF(J12:J23,"Fail")</f>
        <v>0</v>
      </c>
      <c r="C7" s="24" t="s">
        <v>29</v>
      </c>
      <c r="D7" s="41">
        <f>COUNTA(A12:A24)-3</f>
        <v>10</v>
      </c>
      <c r="E7" s="44"/>
      <c r="F7" s="44"/>
      <c r="G7" s="44"/>
      <c r="H7" s="44"/>
      <c r="I7" s="104"/>
      <c r="J7" s="104"/>
      <c r="K7" s="104"/>
    </row>
    <row r="8" spans="1:11" ht="14.25">
      <c r="A8" s="96"/>
      <c r="B8" s="96"/>
      <c r="C8" s="96"/>
      <c r="D8" s="96"/>
      <c r="E8" s="79"/>
      <c r="F8" s="79"/>
      <c r="G8" s="79"/>
      <c r="H8" s="79"/>
      <c r="I8" s="79"/>
      <c r="J8" s="72"/>
      <c r="K8" s="72"/>
    </row>
    <row r="9" spans="1:11">
      <c r="A9" s="108" t="s">
        <v>31</v>
      </c>
      <c r="B9" s="115" t="s">
        <v>8</v>
      </c>
      <c r="C9" s="108" t="s">
        <v>17</v>
      </c>
      <c r="D9" s="124" t="s">
        <v>55</v>
      </c>
      <c r="E9" s="125"/>
      <c r="F9" s="125"/>
      <c r="G9" s="126"/>
      <c r="H9" s="121" t="s">
        <v>56</v>
      </c>
      <c r="I9" s="107" t="s">
        <v>28</v>
      </c>
      <c r="J9" s="107" t="s">
        <v>57</v>
      </c>
      <c r="K9" s="107" t="s">
        <v>32</v>
      </c>
    </row>
    <row r="10" spans="1:11">
      <c r="A10" s="114"/>
      <c r="B10" s="116"/>
      <c r="C10" s="114"/>
      <c r="D10" s="127"/>
      <c r="E10" s="128"/>
      <c r="F10" s="128"/>
      <c r="G10" s="129"/>
      <c r="H10" s="108"/>
      <c r="I10" s="108"/>
      <c r="J10" s="108"/>
      <c r="K10" s="108"/>
    </row>
    <row r="11" spans="1:11" ht="15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3"/>
    </row>
    <row r="12" spans="1:11">
      <c r="A12" s="100" t="s">
        <v>122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2"/>
    </row>
    <row r="13" spans="1:11" ht="55.5" customHeight="1">
      <c r="A13" s="60" t="s">
        <v>123</v>
      </c>
      <c r="B13" s="63" t="s">
        <v>124</v>
      </c>
      <c r="C13" s="59" t="s">
        <v>125</v>
      </c>
      <c r="D13" s="130" t="s">
        <v>126</v>
      </c>
      <c r="E13" s="131"/>
      <c r="F13" s="131"/>
      <c r="G13" s="132"/>
      <c r="H13" s="75"/>
      <c r="I13" s="69"/>
      <c r="J13" s="59" t="s">
        <v>39</v>
      </c>
      <c r="K13" s="57"/>
    </row>
    <row r="14" spans="1:11" ht="54" customHeight="1">
      <c r="A14" s="60" t="s">
        <v>127</v>
      </c>
      <c r="B14" s="63" t="s">
        <v>128</v>
      </c>
      <c r="C14" s="76" t="s">
        <v>129</v>
      </c>
      <c r="D14" s="123" t="s">
        <v>130</v>
      </c>
      <c r="E14" s="122"/>
      <c r="F14" s="122"/>
      <c r="G14" s="58"/>
      <c r="H14" s="58"/>
      <c r="I14" s="133"/>
      <c r="J14" s="59" t="s">
        <v>39</v>
      </c>
      <c r="K14" s="57"/>
    </row>
    <row r="15" spans="1:11">
      <c r="A15" s="100" t="s">
        <v>131</v>
      </c>
      <c r="B15" s="101"/>
      <c r="C15" s="101"/>
      <c r="D15" s="134"/>
      <c r="E15" s="134"/>
      <c r="F15" s="134"/>
      <c r="G15" s="134"/>
      <c r="H15" s="77"/>
      <c r="I15" s="77"/>
      <c r="J15" s="77"/>
      <c r="K15" s="78"/>
    </row>
    <row r="16" spans="1:11" ht="77.25" customHeight="1">
      <c r="A16" s="60" t="s">
        <v>132</v>
      </c>
      <c r="B16" s="59" t="s">
        <v>133</v>
      </c>
      <c r="C16" s="76" t="s">
        <v>134</v>
      </c>
      <c r="D16" s="123" t="s">
        <v>135</v>
      </c>
      <c r="E16" s="122"/>
      <c r="F16" s="122"/>
      <c r="G16" s="135"/>
      <c r="H16" s="58"/>
      <c r="I16" s="59"/>
      <c r="J16" s="59" t="s">
        <v>39</v>
      </c>
      <c r="K16" s="57"/>
    </row>
    <row r="17" spans="1:11" ht="78" customHeight="1">
      <c r="A17" s="60" t="s">
        <v>136</v>
      </c>
      <c r="B17" s="66" t="s">
        <v>137</v>
      </c>
      <c r="C17" s="66" t="s">
        <v>138</v>
      </c>
      <c r="D17" s="130" t="s">
        <v>135</v>
      </c>
      <c r="E17" s="131"/>
      <c r="F17" s="131"/>
      <c r="G17" s="132"/>
      <c r="H17" s="75"/>
      <c r="I17" s="76"/>
      <c r="J17" s="59" t="s">
        <v>39</v>
      </c>
      <c r="K17" s="57"/>
    </row>
    <row r="18" spans="1:11" ht="79.5" customHeight="1">
      <c r="A18" s="60" t="s">
        <v>139</v>
      </c>
      <c r="B18" s="59" t="s">
        <v>140</v>
      </c>
      <c r="C18" s="76" t="s">
        <v>141</v>
      </c>
      <c r="D18" s="123" t="s">
        <v>142</v>
      </c>
      <c r="E18" s="122"/>
      <c r="F18" s="122"/>
      <c r="G18" s="58"/>
      <c r="H18" s="58"/>
      <c r="I18" s="59"/>
      <c r="J18" s="59" t="s">
        <v>39</v>
      </c>
      <c r="K18" s="57"/>
    </row>
    <row r="19" spans="1:11" ht="78.75" customHeight="1">
      <c r="A19" s="60" t="s">
        <v>143</v>
      </c>
      <c r="B19" s="59" t="s">
        <v>144</v>
      </c>
      <c r="C19" s="76" t="s">
        <v>145</v>
      </c>
      <c r="D19" s="123" t="s">
        <v>142</v>
      </c>
      <c r="E19" s="122"/>
      <c r="F19" s="122"/>
      <c r="G19" s="58"/>
      <c r="H19" s="58"/>
      <c r="I19" s="59"/>
      <c r="J19" s="59" t="s">
        <v>39</v>
      </c>
      <c r="K19" s="57"/>
    </row>
    <row r="20" spans="1:11" ht="78.75" customHeight="1">
      <c r="A20" s="136" t="s">
        <v>146</v>
      </c>
      <c r="B20" s="137" t="s">
        <v>147</v>
      </c>
      <c r="C20" s="138" t="s">
        <v>148</v>
      </c>
      <c r="D20" s="139" t="s">
        <v>142</v>
      </c>
      <c r="E20" s="140"/>
      <c r="F20" s="140"/>
      <c r="G20" s="141"/>
      <c r="H20" s="142"/>
      <c r="I20" s="142"/>
      <c r="J20" s="142" t="s">
        <v>39</v>
      </c>
      <c r="K20" s="142"/>
    </row>
    <row r="21" spans="1:11">
      <c r="A21" s="100" t="s">
        <v>149</v>
      </c>
      <c r="B21" s="101"/>
      <c r="C21" s="101"/>
      <c r="D21" s="134"/>
      <c r="E21" s="134"/>
      <c r="F21" s="134"/>
      <c r="G21" s="134"/>
      <c r="H21" s="77"/>
      <c r="I21" s="77"/>
      <c r="J21" s="77"/>
      <c r="K21" s="78"/>
    </row>
    <row r="22" spans="1:11" ht="66" customHeight="1">
      <c r="A22" s="60" t="s">
        <v>150</v>
      </c>
      <c r="B22" s="66" t="s">
        <v>151</v>
      </c>
      <c r="C22" s="66" t="s">
        <v>152</v>
      </c>
      <c r="D22" s="123" t="s">
        <v>153</v>
      </c>
      <c r="E22" s="122"/>
      <c r="F22" s="122"/>
      <c r="G22" s="58"/>
      <c r="H22" s="75"/>
      <c r="I22" s="76"/>
      <c r="J22" s="59" t="s">
        <v>39</v>
      </c>
      <c r="K22" s="57"/>
    </row>
    <row r="23" spans="1:11" ht="65.25" customHeight="1">
      <c r="A23" s="143" t="s">
        <v>154</v>
      </c>
      <c r="B23" s="59" t="s">
        <v>155</v>
      </c>
      <c r="C23" s="59" t="s">
        <v>156</v>
      </c>
      <c r="D23" s="123" t="s">
        <v>160</v>
      </c>
      <c r="E23" s="122"/>
      <c r="F23" s="122"/>
      <c r="G23" s="58"/>
      <c r="H23" s="59"/>
      <c r="I23" s="59"/>
      <c r="J23" s="59" t="s">
        <v>39</v>
      </c>
      <c r="K23" s="57"/>
    </row>
    <row r="24" spans="1:11" ht="67.5" customHeight="1">
      <c r="A24" s="143" t="s">
        <v>157</v>
      </c>
      <c r="B24" s="59" t="s">
        <v>158</v>
      </c>
      <c r="C24" s="59" t="s">
        <v>159</v>
      </c>
      <c r="D24" s="123" t="s">
        <v>160</v>
      </c>
      <c r="E24" s="122"/>
      <c r="F24" s="122"/>
      <c r="G24" s="58"/>
      <c r="H24" s="59"/>
      <c r="I24" s="59"/>
      <c r="J24" s="59" t="s">
        <v>39</v>
      </c>
      <c r="K24" s="57"/>
    </row>
  </sheetData>
  <mergeCells count="32">
    <mergeCell ref="D22:F22"/>
    <mergeCell ref="D23:F23"/>
    <mergeCell ref="D24:F24"/>
    <mergeCell ref="D16:F16"/>
    <mergeCell ref="D17:F17"/>
    <mergeCell ref="D18:F18"/>
    <mergeCell ref="D19:F19"/>
    <mergeCell ref="D20:F20"/>
    <mergeCell ref="A21:C21"/>
    <mergeCell ref="K9:K10"/>
    <mergeCell ref="A11:K11"/>
    <mergeCell ref="A12:K12"/>
    <mergeCell ref="D13:F13"/>
    <mergeCell ref="D14:F14"/>
    <mergeCell ref="A15:C1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1:D2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Samples</vt:lpstr>
      <vt:lpstr>Test Report</vt:lpstr>
      <vt:lpstr>Cancel Booking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Vietboot</cp:lastModifiedBy>
  <cp:lastPrinted>2006-08-02T10:15:15Z</cp:lastPrinted>
  <dcterms:created xsi:type="dcterms:W3CDTF">2002-07-27T17:17:25Z</dcterms:created>
  <dcterms:modified xsi:type="dcterms:W3CDTF">2026-04-15T10:34:04Z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
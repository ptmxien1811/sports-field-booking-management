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 tabRatio="821" activeTab="2"/>
  </bookViews>
  <sheets>
    <sheet name="Cover" sheetId="97" r:id="rId1"/>
    <sheet name="Samples" sheetId="122" r:id="rId2"/>
    <sheet name="Booking" sheetId="124" r:id="rId3"/>
    <sheet name="Cancel Booking" sheetId="123" r:id="rId4"/>
    <sheet name="Test Report" sheetId="107" r:id="rId5"/>
  </sheets>
  <externalReferences>
    <externalReference r:id="rId6"/>
  </externalReferences>
  <definedNames>
    <definedName name="Access">[1]Validation!$E$2:$E$223</definedName>
    <definedName name="AccessCircuit">[1]Validation!$C$2:$C$29</definedName>
    <definedName name="ACTION">#REF!</definedName>
    <definedName name="CoS">[1]Validation!$G$2:$G$47</definedName>
    <definedName name="Countries">[1]Validation!$A$2:$A$301</definedName>
    <definedName name="DSLCheckService">[1]Validation!$H$2:$H$4</definedName>
    <definedName name="Port">[1]Validation!$F$2:$F$40</definedName>
    <definedName name="VancoProducts">[1]Validation!$B$2:$B$4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<sst xmlns="http://schemas.openxmlformats.org/spreadsheetml/2006/main" count="286" uniqueCount="186">
  <si>
    <t>TEST CASE</t>
  </si>
  <si>
    <t>Version:</t>
  </si>
  <si>
    <t>1.4</t>
  </si>
  <si>
    <t>Issue date:</t>
  </si>
  <si>
    <t>15/04/2026</t>
  </si>
  <si>
    <t>Project Name:</t>
  </si>
  <si>
    <t>Quản lý đặt sân thể thao</t>
  </si>
  <si>
    <t>Project Code:</t>
  </si>
  <si>
    <t>SPORT-BOOKING-01</t>
  </si>
  <si>
    <t>Record of change:</t>
  </si>
  <si>
    <t>Effective Date</t>
  </si>
  <si>
    <t>Version</t>
  </si>
  <si>
    <t>Change location</t>
  </si>
  <si>
    <t>Change description</t>
  </si>
  <si>
    <t>Originator</t>
  </si>
  <si>
    <t>Reviewer/
Approver</t>
  </si>
  <si>
    <t>Reference</t>
  </si>
  <si>
    <t>09/03/2026</t>
  </si>
  <si>
    <t>1.0</t>
  </si>
  <si>
    <t>Initial commit – Tạo project, README.md</t>
  </si>
  <si>
    <t>ptmxien1811</t>
  </si>
  <si>
    <t>Initial commit c230be5</t>
  </si>
  <si>
    <t>16/03/2026</t>
  </si>
  <si>
    <t>1.1</t>
  </si>
  <si>
    <t>models.py, seed.py</t>
  </si>
  <si>
    <t>Tạo project cấu trúc ban đầu, định nghĩa models &amp; seed data</t>
  </si>
  <si>
    <t>create project 7f5a5f9</t>
  </si>
  <si>
    <t>25/03/2026</t>
  </si>
  <si>
    <t>README.md</t>
  </si>
  <si>
    <t>Cập nhật README, tạo nhánh chính</t>
  </si>
  <si>
    <t>Update README eda4b6e</t>
  </si>
  <si>
    <t>29/03/2026</t>
  </si>
  <si>
    <t>1.2</t>
  </si>
  <si>
    <t>index.html (FE)</t>
  </si>
  <si>
    <t>FE KhamPha – Thiết kế trang khám phá sân</t>
  </si>
  <si>
    <t>lydailongdichmam123-hue / quien92</t>
  </si>
  <si>
    <t>FE KhamPha fd7def4</t>
  </si>
  <si>
    <t>02/04/2026</t>
  </si>
  <si>
    <t>featured.html</t>
  </si>
  <si>
    <t>Thiết kế trang Featured Page (nổi bật)</t>
  </si>
  <si>
    <t>quien92</t>
  </si>
  <si>
    <t>PR #1, #2 frontend/featured_page</t>
  </si>
  <si>
    <t>04/04/2026</t>
  </si>
  <si>
    <t>seed.py, models.py</t>
  </si>
  <si>
    <t>Cập nhật dữ liệu mẫu (update data)</t>
  </si>
  <si>
    <t>update data 0bcb07a</t>
  </si>
  <si>
    <t>05/04/2026</t>
  </si>
  <si>
    <t>1.3</t>
  </si>
  <si>
    <t>admin.py</t>
  </si>
  <si>
    <t>Long-administrator: Xây dựng trang Admin quản lý sân</t>
  </si>
  <si>
    <t>lydailongdichmam123-hue</t>
  </si>
  <si>
    <t>PR #7 admin-Long 171f63d</t>
  </si>
  <si>
    <t>base.html, footer</t>
  </si>
  <si>
    <t>Cập nhật footer (update fe_footer)</t>
  </si>
  <si>
    <t>PR #8 feature/fe_footer cee02c9</t>
  </si>
  <si>
    <t>06/04/2026</t>
  </si>
  <si>
    <t>index.py</t>
  </si>
  <si>
    <t>Chỉnh sửa tabs điều hướng (edit tabs)</t>
  </si>
  <si>
    <t>edit tabs 8c99a86</t>
  </si>
  <si>
    <t>10/04/2026</t>
  </si>
  <si>
    <t>dao.py, index.py</t>
  </si>
  <si>
    <t>API-BOOKING: Xây dựng API đặt sân, hủy sân</t>
  </si>
  <si>
    <t>PR #9 feature/API-booking 0ee9337</t>
  </si>
  <si>
    <t>dao.py, models.py</t>
  </si>
  <si>
    <t>Hoàn tất tích hợp code Xuyên + Quyên, giữ giao diện</t>
  </si>
  <si>
    <t>01e5a86</t>
  </si>
  <si>
    <t>11/04/2026</t>
  </si>
  <si>
    <t>Chỉnh sửa file admin – cập nhật validation</t>
  </si>
  <si>
    <t>edit file admin 425cce6</t>
  </si>
  <si>
    <t>admin.py, dao.py</t>
  </si>
  <si>
    <t>LONG/feature/CRUD-validation: Thêm ràng buộc CRUD</t>
  </si>
  <si>
    <t>PR #10 CRUD-validation dafe76a</t>
  </si>
  <si>
    <t>cancel-booking API: Hoàn thiện API hủy đặt sân</t>
  </si>
  <si>
    <t>cancel-booking e84986e</t>
  </si>
  <si>
    <t>12/04/2026</t>
  </si>
  <si>
    <t>index.html</t>
  </si>
  <si>
    <t>index.html: Cập nhật giao diện trang chủ, ràng buộc UI</t>
  </si>
  <si>
    <t>PR #14 feature/constraints1 fa7261d</t>
  </si>
  <si>
    <r>
      <rPr>
        <b/>
        <sz val="10"/>
        <rFont val="Tahoma"/>
        <charset val="134"/>
      </rPr>
      <t>System Name</t>
    </r>
    <r>
      <rPr>
        <b/>
        <sz val="10"/>
        <rFont val="ＭＳ Ｐゴシック"/>
        <charset val="128"/>
      </rPr>
      <t>：</t>
    </r>
  </si>
  <si>
    <t>Sample Project</t>
  </si>
  <si>
    <r>
      <rPr>
        <b/>
        <sz val="10"/>
        <rFont val="Tahoma"/>
        <charset val="134"/>
      </rPr>
      <t>Module Code</t>
    </r>
    <r>
      <rPr>
        <b/>
        <sz val="10"/>
        <rFont val="MS Gothic"/>
        <charset val="134"/>
      </rPr>
      <t>：</t>
    </r>
  </si>
  <si>
    <t>CR100 - Export to excel</t>
  </si>
  <si>
    <t>Test requirement:</t>
  </si>
  <si>
    <t xml:space="preserve">CR1 - </t>
  </si>
  <si>
    <t>Pass</t>
  </si>
  <si>
    <t>Pending</t>
  </si>
  <si>
    <t>Fail</t>
  </si>
  <si>
    <t>Number of test cases:</t>
  </si>
  <si>
    <t>ID</t>
  </si>
  <si>
    <t>Test Case Description</t>
  </si>
  <si>
    <t>Test Case Procedure</t>
  </si>
  <si>
    <t>Expected Results</t>
  </si>
  <si>
    <t>Actual Results</t>
  </si>
  <si>
    <t>Test date</t>
  </si>
  <si>
    <t>Status</t>
  </si>
  <si>
    <t>Note</t>
  </si>
  <si>
    <t>1. Check add role "CanExportAllCarrierChoises": This will be typically set for System users only</t>
  </si>
  <si>
    <t>TC1</t>
  </si>
  <si>
    <t>Checking new role is added</t>
  </si>
  <si>
    <t xml:space="preserve">1: Go to the system TestProEngine with Classic or Current or Expert Mode
2: Go to maintenance 
3: Click Maintenance Users
4: Click Role Tab
</t>
  </si>
  <si>
    <r>
      <rPr>
        <sz val="10"/>
        <color indexed="8"/>
        <rFont val="Tahoma"/>
        <charset val="134"/>
      </rPr>
      <t>Role Tab is added a new role, it's name "</t>
    </r>
    <r>
      <rPr>
        <b/>
        <sz val="10"/>
        <color indexed="8"/>
        <rFont val="Tahoma"/>
        <charset val="134"/>
      </rPr>
      <t>CanExportAllCarrierChoices"</t>
    </r>
  </si>
  <si>
    <t>Check set Role CanExportAllCarrierChoices = True</t>
  </si>
  <si>
    <t>TC2</t>
  </si>
  <si>
    <r>
      <rPr>
        <sz val="10"/>
        <color indexed="8"/>
        <rFont val="Tahoma"/>
        <charset val="134"/>
      </rPr>
      <t xml:space="preserve">Checking new function is added in </t>
    </r>
    <r>
      <rPr>
        <b/>
        <sz val="10"/>
        <color indexed="8"/>
        <rFont val="Tahoma"/>
        <charset val="134"/>
      </rPr>
      <t>Classic or Current Mode</t>
    </r>
  </si>
  <si>
    <t>1: Go to the system TestProEngine with Classic or Current  Mode that has to set role "CanExportAllCarrierChoices"
2: Submit for the quote 
3: Open the quote at the home
4: Go to Quick Links</t>
  </si>
  <si>
    <r>
      <rPr>
        <b/>
        <sz val="10"/>
        <color indexed="8"/>
        <rFont val="Tahoma"/>
        <charset val="134"/>
      </rPr>
      <t>See</t>
    </r>
    <r>
      <rPr>
        <sz val="10"/>
        <color indexed="8"/>
        <rFont val="Tahoma"/>
        <charset val="134"/>
      </rPr>
      <t xml:space="preserve"> a new selector: "</t>
    </r>
    <r>
      <rPr>
        <b/>
        <sz val="10"/>
        <color indexed="8"/>
        <rFont val="Tahoma"/>
        <charset val="134"/>
      </rPr>
      <t>Export all Carriers"</t>
    </r>
  </si>
  <si>
    <t>Check set Role CanExportAllCarrierChoices = False</t>
  </si>
  <si>
    <t>TC3</t>
  </si>
  <si>
    <t>1: Go to the system TestProEngine with Classic or Current  Mode that has not to set role "CanExportAllCarrierChoices"
2: Submit for the quote 
3: Open the quote at the home
4: Go to Quick Links</t>
  </si>
  <si>
    <r>
      <rPr>
        <b/>
        <sz val="10"/>
        <color indexed="8"/>
        <rFont val="Tahoma"/>
        <charset val="134"/>
      </rPr>
      <t>Don't see</t>
    </r>
    <r>
      <rPr>
        <sz val="10"/>
        <color indexed="8"/>
        <rFont val="Tahoma"/>
        <charset val="134"/>
      </rPr>
      <t xml:space="preserve"> a new selector: "</t>
    </r>
    <r>
      <rPr>
        <b/>
        <sz val="10"/>
        <color indexed="8"/>
        <rFont val="Tahoma"/>
        <charset val="134"/>
      </rPr>
      <t>Export all Carriers"</t>
    </r>
  </si>
  <si>
    <t>BOOKING</t>
  </si>
  <si>
    <t>QUẢN LÝ ĐẶT SÂN THỂ THAO</t>
  </si>
  <si>
    <t>CR100 - BOOKING</t>
  </si>
  <si>
    <t>1. Không cho phép đặt sân khi chưa đăng nhập</t>
  </si>
  <si>
    <t>Truy cập ở trạng thái chưa đăng nhập  và nhấn vào "Đặt sân ngay"</t>
  </si>
  <si>
    <t>1: Truy cập trang khi chưa đăng nhập
2: Nhấn vào nút "Đặt lịch" tại sân muốn đặt để đi đến trang chi tiết sân
3: Chọn ngày và thời gian muốn đặt sân
4: Nhấn nút "Đặt sân ngay"</t>
  </si>
  <si>
    <r>
      <rPr>
        <sz val="10"/>
        <color rgb="FF000000"/>
        <rFont val="Tahoma"/>
        <charset val="134"/>
      </rPr>
      <t xml:space="preserve">Hệ thống thông báo </t>
    </r>
    <r>
      <rPr>
        <b/>
        <sz val="10"/>
        <color rgb="FF000000"/>
        <rFont val="Tahoma"/>
        <charset val="134"/>
      </rPr>
      <t>"Vui lòng đăng nhập để đặt sân!"</t>
    </r>
  </si>
  <si>
    <t>2. Đăng nhập tài khoản thành công và thực hiện đặt sân</t>
  </si>
  <si>
    <t>Truy cập bằng tài khoản thành công và nhấn "Đặt sân ngay"</t>
  </si>
  <si>
    <t>1: Truy cập trang khi đã đăng nhập
2: Nhấn vào nút "Đặt lịch" tại sân muốn đặt để đi đến trang chi tiết sân
3: Chọn ngày và thời gian muốn đặt sân
4: Nhấn nút "Đặt sân ngay"</t>
  </si>
  <si>
    <r>
      <rPr>
        <sz val="10"/>
        <color rgb="FF000000"/>
        <rFont val="Tahoma"/>
        <charset val="134"/>
      </rPr>
      <t xml:space="preserve">Hệ thống thông báo </t>
    </r>
    <r>
      <rPr>
        <b/>
        <sz val="10"/>
        <color rgb="FF000000"/>
        <rFont val="Tahoma"/>
        <charset val="134"/>
      </rPr>
      <t>"Đặt sân thành công!"</t>
    </r>
    <r>
      <rPr>
        <sz val="10"/>
        <color rgb="FF000000"/>
        <rFont val="Tahoma"/>
        <charset val="134"/>
      </rPr>
      <t xml:space="preserve"> và chuyển sân đã đặt sang tab </t>
    </r>
    <r>
      <rPr>
        <b/>
        <sz val="10"/>
        <color rgb="FF000000"/>
        <rFont val="Tahoma"/>
        <charset val="134"/>
      </rPr>
      <t>"Sân đã đặt"</t>
    </r>
  </si>
  <si>
    <t>3. Không được đặt sân trong quá khứ</t>
  </si>
  <si>
    <t>Chọn một ngày đã qua</t>
  </si>
  <si>
    <t>1: Chọn ngày đã qua trên lịch</t>
  </si>
  <si>
    <t>Nút ngày mờ đi không thể click vào</t>
  </si>
  <si>
    <t>4. Chọn ngày hiện tại nhưng không được chọn khung giờ đã trôi qua</t>
  </si>
  <si>
    <t>TC4</t>
  </si>
  <si>
    <t>Chọn ngày hiện tại và chọn thời gian đã qua</t>
  </si>
  <si>
    <t xml:space="preserve">1: Chọn ngày hiện tại
2: Chọn thời gian trong quá khứ
</t>
  </si>
  <si>
    <t>Nút thời gian mờ đi không thể chọn</t>
  </si>
  <si>
    <t>5. Một người chỉ được đặt tối đa 3 sân/ngày</t>
  </si>
  <si>
    <t>TC5</t>
  </si>
  <si>
    <t>Đặt từ 3 sân trở lại trong cùng 1 ngày thành công</t>
  </si>
  <si>
    <t>1: Đặt sân thứ nhất và thành công
2: Đặt sân thứ hai và thành công
3: Đặt sân thứ ba và thành công
4: Đặt sân thứ tư và nhận thông báo thất bại</t>
  </si>
  <si>
    <t>Cho phép người dùng đặt thành công 3 sân trong cùng 1 ngày, khi đặt tiếp thì nhận thông báo hệ thống "Bạn đã đạt giới hạn đặt sân trong ngày!"</t>
  </si>
  <si>
    <t>HỦY ĐẶT SÂN</t>
  </si>
  <si>
    <t>CR200 - CANCEL BOOKING</t>
  </si>
  <si>
    <t>1. Chỉ người đặt mới được hủy</t>
  </si>
  <si>
    <t>TC2-01</t>
  </si>
  <si>
    <t>Hủy sân sau khi đặt sân trong cùng một tài khoản</t>
  </si>
  <si>
    <t xml:space="preserve">1: Truy cập vào trang và đăng nhập tài khoản thành công.
2: Chuyển tab "Sân đã đặt" nhấn "HỦY SÂN" cần hủy.
</t>
  </si>
  <si>
    <t>Hệ thống tự động tải lại trang, tab "Sân đã đặt" không còn sân vừa hủy.</t>
  </si>
  <si>
    <t>TC2-02</t>
  </si>
  <si>
    <t>Hủy sân của một user khác</t>
  </si>
  <si>
    <t>1: Truy cập vào trang và đăng nhập user A thành công.
2: Đặt lịch ở user A rồi đăng nhập vào user B.
3: Chuyển tab "Sân đã đặt" để kiểm tra.</t>
  </si>
  <si>
    <t>Không thấy sân đã đặt lịch ở user A</t>
  </si>
  <si>
    <t>2. Không hủy khi còn &lt;2 giờ trước giờ chơi</t>
  </si>
  <si>
    <t>TC2-03</t>
  </si>
  <si>
    <t>Huỷ một sân trước 3 giờ trước hạn chót</t>
  </si>
  <si>
    <t>Booking #1 có giờ bắt đầu là 14:00 hôm nay. Thời gian hiện tại là 11:00:
1: Truy cập vào trang và đăng nhập tài khoản thành công.
2: Chuyển sang tab "Sân đã đặt".
3: Nhấn "HỦY SÂN" ở booking #1.</t>
  </si>
  <si>
    <t>Hệ thống tự động tải lại trang, tab "Sân đã đặt" không còn booking #1.</t>
  </si>
  <si>
    <t>TC2-04</t>
  </si>
  <si>
    <t>Hủy một sân 1 phút ngay trước hạn chót</t>
  </si>
  <si>
    <t>Booking #1 có giờ bắt đầu là 14:00 hôm nay. Thời gian hiện tại là 11:59:
1: Truy cập vào trang và đăng nhập tài khoản thành công.
2: Chuyển sang tab "Sân đã đặt".
3: Nhấn "HỦY SÂN" ở booking #1.</t>
  </si>
  <si>
    <t>TC2-05</t>
  </si>
  <si>
    <t>Huỷ một sân đúng ngay hạn chót</t>
  </si>
  <si>
    <t>Booking #1 có giờ bắt đầu là 14:00 hôm nay. Thời gian hiện tại là 12:00:
1: Truy cập vào trang và đăng nhập tài khoản thành công.
2: Chuyển sang tab "Sân đã đặt".
3: Nhấn "HỦY SÂN" ở booking #1.</t>
  </si>
  <si>
    <t>Hệ thống từ chối huỷ sân, hiển thị thông báo "Sân sắp đá, không được huỷ!"</t>
  </si>
  <si>
    <t>TC2-06</t>
  </si>
  <si>
    <t>Huỷ một sân đã quá 1 phút sau hạn chót</t>
  </si>
  <si>
    <t>Booking #1 có giờ bắt đầu là 14:00 hôm nay. Thời gian hiện tại là 12:01:
1: Truy cập vào trang và đăng nhập tài khoản thành công.
2: Chuyển sang tab "Sân đã đặt".
3: Nhấn "HỦY SÂN" ở booking #1.</t>
  </si>
  <si>
    <t>TC2-07</t>
  </si>
  <si>
    <t>Huỷ một sân đã qua hạn chót 1 giờ.</t>
  </si>
  <si>
    <t>Booking #1 có giờ bắt đầu là 14:00 hôm nay. Thời gian hiện tại là 13:00:
1: Truy cập vào trang và đăng nhập tài khoản thành công.
2: Chuyển sang tab "Sân đã đặt".
3: Nhấn "HỦY SÂN" ở booking #1.</t>
  </si>
  <si>
    <t>3. Không hủy khi đang chơi</t>
  </si>
  <si>
    <t>TC2-08</t>
  </si>
  <si>
    <t>Hủy một sân đang trong thời gian sử dụng</t>
  </si>
  <si>
    <t>1: Truy cập vào trang và đăng nhập tài khoản thành công.
2: Chuyển sang tab "Sân đã đặt".
3: Nhấn "HỦY SÂN" ở booking đang trong thời gian sử dụng.</t>
  </si>
  <si>
    <t>Hệ thống có thông báo "Sân đang trong giờ sử dụng, bạn không thể hủy lúc này!"</t>
  </si>
  <si>
    <t>TC2-09</t>
  </si>
  <si>
    <t>Hủy một sân ngay khi vừa thi đấu xong</t>
  </si>
  <si>
    <t>1: Truy cập vào trang và đăng nhập tài khoản thành công.
2: Chuyển sang tab "Sân đã đặt".
3:  Nhấn "HỦY SÂN" ở booking vừa mới thi đấu xong.</t>
  </si>
  <si>
    <t>Hệ thống có thông báo "Sân này đã thi đấu xong, không thể hủy!"</t>
  </si>
  <si>
    <t>TC2-10</t>
  </si>
  <si>
    <t>Hủy một sân sau khi vừa thi đấu xong 15 phút.</t>
  </si>
  <si>
    <t>1: Truy cập vào trang và đăng nhập tài khoản thành công.
2: Chuyển sang tab "Sân đã đặt".
3:  Nhấn "HỦY SÂN" ở booking đã qua thời gian sử dụng 15 phút.</t>
  </si>
  <si>
    <t>TEST REPORT</t>
  </si>
  <si>
    <t>Note:</t>
  </si>
  <si>
    <t>Date</t>
  </si>
  <si>
    <t>No</t>
  </si>
  <si>
    <t>Module code</t>
  </si>
  <si>
    <t>Number of  test cases</t>
  </si>
  <si>
    <t>Sub total</t>
  </si>
  <si>
    <t>Test coverage</t>
  </si>
  <si>
    <t>%</t>
  </si>
  <si>
    <t>Test successful coverage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</si>
</sst>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#.##000_ ;_ * \-#,###.##000_ ;_ * &quot;-&quot;??_ ;_ @_ "/>
    <numFmt numFmtId="177" formatCode="_-* #,###.##000\ &quot;₫&quot;_-;\-* #,###.##000\ &quot;₫&quot;_-;_-* &quot;-&quot;??\ &quot;₫&quot;_-;_-@_-"/>
    <numFmt numFmtId="178" formatCode="_ * #.##0_ ;_ * \-#.##0_ ;_ * &quot;-&quot;_ ;_ @_ "/>
    <numFmt numFmtId="179" formatCode="_-* #.##0\ &quot;₫&quot;_-;\-* #.##0\ &quot;₫&quot;_-;_-* &quot;-&quot;\ &quot;₫&quot;_-;_-@_-"/>
    <numFmt numFmtId="180" formatCode="[$-409]d\-mmm\-yy;@"/>
    <numFmt numFmtId="181" formatCode="0.000"/>
  </numFmts>
  <fonts count="50">
    <font>
      <sz val="11"/>
      <name val="ＭＳ Ｐゴシック"/>
      <charset val="128"/>
    </font>
    <font>
      <b/>
      <sz val="18"/>
      <name val="Tahoma"/>
      <charset val="134"/>
    </font>
    <font>
      <b/>
      <sz val="10"/>
      <name val="Tahoma"/>
      <charset val="134"/>
    </font>
    <font>
      <sz val="10"/>
      <name val="Tahoma"/>
      <charset val="134"/>
    </font>
    <font>
      <b/>
      <sz val="10"/>
      <color indexed="9"/>
      <name val="Tahoma"/>
      <charset val="134"/>
    </font>
    <font>
      <sz val="10"/>
      <name val="ＭＳ Ｐゴシック"/>
      <charset val="128"/>
    </font>
    <font>
      <sz val="10"/>
      <color indexed="9"/>
      <name val="Tahoma"/>
      <charset val="134"/>
    </font>
    <font>
      <b/>
      <sz val="10"/>
      <color indexed="12"/>
      <name val="Tahoma"/>
      <charset val="134"/>
    </font>
    <font>
      <sz val="10"/>
      <color indexed="8"/>
      <name val="Tahoma"/>
      <charset val="134"/>
    </font>
    <font>
      <sz val="8"/>
      <color indexed="8"/>
      <name val="Tahoma"/>
      <charset val="134"/>
    </font>
    <font>
      <b/>
      <sz val="12"/>
      <color indexed="9"/>
      <name val="Tahoma"/>
      <charset val="134"/>
    </font>
    <font>
      <b/>
      <sz val="10"/>
      <color indexed="8"/>
      <name val="Tahoma"/>
      <charset val="134"/>
    </font>
    <font>
      <sz val="10"/>
      <color indexed="10"/>
      <name val="Tahoma"/>
      <charset val="134"/>
    </font>
    <font>
      <sz val="10"/>
      <color rgb="FF000000"/>
      <name val="Tahoma"/>
      <charset val="134"/>
    </font>
    <font>
      <sz val="12"/>
      <color indexed="8"/>
      <name val="Tahoma"/>
      <charset val="134"/>
    </font>
    <font>
      <sz val="12"/>
      <name val="ＭＳ Ｐゴシック"/>
      <charset val="128"/>
    </font>
    <font>
      <sz val="11"/>
      <name val="Tahoma"/>
      <charset val="134"/>
    </font>
    <font>
      <b/>
      <sz val="20"/>
      <name val="Tahoma"/>
      <charset val="134"/>
    </font>
    <font>
      <b/>
      <sz val="13"/>
      <color indexed="60"/>
      <name val="Tahoma"/>
      <charset val="134"/>
    </font>
    <font>
      <sz val="13"/>
      <name val="Arial"/>
      <charset val="134"/>
    </font>
    <font>
      <sz val="11"/>
      <color theme="1"/>
      <name val="Calibri"/>
      <charset val="134"/>
      <scheme val="minor"/>
    </font>
    <font>
      <sz val="11"/>
      <name val="Arial"/>
      <charset val="134"/>
    </font>
    <font>
      <sz val="20"/>
      <color theme="1"/>
      <name val="Calibri"/>
      <charset val="134"/>
      <scheme val="minor"/>
    </font>
    <font>
      <sz val="13"/>
      <name val="Tahoma"/>
      <charset val="134"/>
    </font>
    <font>
      <b/>
      <sz val="13"/>
      <color indexed="60"/>
      <name val="Times New Roman"/>
      <charset val="134"/>
    </font>
    <font>
      <sz val="13"/>
      <name val="Times New Roman"/>
      <charset val="134"/>
    </font>
    <font>
      <b/>
      <sz val="13"/>
      <color indexed="9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ＭＳ ゴシック"/>
      <charset val="128"/>
    </font>
    <font>
      <b/>
      <sz val="10"/>
      <name val="MS Gothic"/>
      <charset val="134"/>
    </font>
    <font>
      <b/>
      <sz val="10"/>
      <name val="ＭＳ Ｐゴシック"/>
      <charset val="128"/>
    </font>
    <font>
      <b/>
      <sz val="10"/>
      <color rgb="FF000000"/>
      <name val="Tahoma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6">
    <border>
      <left/>
      <right/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176" fontId="20" fillId="0" borderId="0" applyFont="0" applyFill="0" applyBorder="0" applyAlignment="0" applyProtection="0">
      <alignment vertical="center"/>
    </xf>
    <xf numFmtId="177" fontId="20" fillId="0" borderId="0" applyFont="0" applyFill="0" applyBorder="0" applyAlignment="0" applyProtection="0">
      <alignment vertical="center"/>
    </xf>
    <xf numFmtId="9" fontId="20" fillId="0" borderId="0" applyFont="0" applyFill="0" applyBorder="0" applyAlignment="0" applyProtection="0">
      <alignment vertical="center"/>
    </xf>
    <xf numFmtId="178" fontId="20" fillId="0" borderId="0" applyFont="0" applyFill="0" applyBorder="0" applyAlignment="0" applyProtection="0">
      <alignment vertical="center"/>
    </xf>
    <xf numFmtId="179" fontId="20" fillId="0" borderId="0" applyFon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0" fillId="8" borderId="38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39" applyNumberFormat="0" applyFill="0" applyAlignment="0" applyProtection="0">
      <alignment vertical="center"/>
    </xf>
    <xf numFmtId="0" fontId="33" fillId="0" borderId="39" applyNumberFormat="0" applyFill="0" applyAlignment="0" applyProtection="0">
      <alignment vertical="center"/>
    </xf>
    <xf numFmtId="0" fontId="34" fillId="0" borderId="40" applyNumberFormat="0" applyFill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9" borderId="41" applyNumberFormat="0" applyAlignment="0" applyProtection="0">
      <alignment vertical="center"/>
    </xf>
    <xf numFmtId="0" fontId="36" fillId="10" borderId="42" applyNumberFormat="0" applyAlignment="0" applyProtection="0">
      <alignment vertical="center"/>
    </xf>
    <xf numFmtId="0" fontId="37" fillId="10" borderId="41" applyNumberFormat="0" applyAlignment="0" applyProtection="0">
      <alignment vertical="center"/>
    </xf>
    <xf numFmtId="0" fontId="38" fillId="11" borderId="43" applyNumberFormat="0" applyAlignment="0" applyProtection="0">
      <alignment vertical="center"/>
    </xf>
    <xf numFmtId="0" fontId="39" fillId="0" borderId="44" applyNumberFormat="0" applyFill="0" applyAlignment="0" applyProtection="0">
      <alignment vertical="center"/>
    </xf>
    <xf numFmtId="0" fontId="40" fillId="0" borderId="45" applyNumberFormat="0" applyFill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3" fillId="14" borderId="0" applyNumberFormat="0" applyBorder="0" applyAlignment="0" applyProtection="0">
      <alignment vertical="center"/>
    </xf>
    <xf numFmtId="0" fontId="44" fillId="15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7" borderId="0" applyNumberFormat="0" applyBorder="0" applyAlignment="0" applyProtection="0">
      <alignment vertical="center"/>
    </xf>
    <xf numFmtId="0" fontId="44" fillId="18" borderId="0" applyNumberFormat="0" applyBorder="0" applyAlignment="0" applyProtection="0">
      <alignment vertical="center"/>
    </xf>
    <xf numFmtId="0" fontId="44" fillId="19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1" borderId="0" applyNumberFormat="0" applyBorder="0" applyAlignment="0" applyProtection="0">
      <alignment vertical="center"/>
    </xf>
    <xf numFmtId="0" fontId="44" fillId="22" borderId="0" applyNumberFormat="0" applyBorder="0" applyAlignment="0" applyProtection="0">
      <alignment vertical="center"/>
    </xf>
    <xf numFmtId="0" fontId="44" fillId="23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5" borderId="0" applyNumberFormat="0" applyBorder="0" applyAlignment="0" applyProtection="0">
      <alignment vertical="center"/>
    </xf>
    <xf numFmtId="0" fontId="44" fillId="26" borderId="0" applyNumberFormat="0" applyBorder="0" applyAlignment="0" applyProtection="0">
      <alignment vertical="center"/>
    </xf>
    <xf numFmtId="0" fontId="44" fillId="27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9" borderId="0" applyNumberFormat="0" applyBorder="0" applyAlignment="0" applyProtection="0">
      <alignment vertical="center"/>
    </xf>
    <xf numFmtId="0" fontId="44" fillId="30" borderId="0" applyNumberFormat="0" applyBorder="0" applyAlignment="0" applyProtection="0">
      <alignment vertical="center"/>
    </xf>
    <xf numFmtId="0" fontId="44" fillId="31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3" borderId="0" applyNumberFormat="0" applyBorder="0" applyAlignment="0" applyProtection="0">
      <alignment vertical="center"/>
    </xf>
    <xf numFmtId="0" fontId="44" fillId="34" borderId="0" applyNumberFormat="0" applyBorder="0" applyAlignment="0" applyProtection="0">
      <alignment vertical="center"/>
    </xf>
    <xf numFmtId="0" fontId="44" fillId="35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7" borderId="0" applyNumberFormat="0" applyBorder="0" applyAlignment="0" applyProtection="0">
      <alignment vertical="center"/>
    </xf>
    <xf numFmtId="0" fontId="44" fillId="38" borderId="0" applyNumberFormat="0" applyBorder="0" applyAlignment="0" applyProtection="0">
      <alignment vertical="center"/>
    </xf>
    <xf numFmtId="0" fontId="20" fillId="0" borderId="0"/>
    <xf numFmtId="0" fontId="0" fillId="0" borderId="0"/>
    <xf numFmtId="0" fontId="0" fillId="0" borderId="0" applyProtection="0"/>
    <xf numFmtId="0" fontId="46" fillId="0" borderId="0"/>
  </cellStyleXfs>
  <cellXfs count="146">
    <xf numFmtId="0" fontId="0" fillId="0" borderId="0" xfId="0"/>
    <xf numFmtId="0" fontId="0" fillId="0" borderId="0" xfId="0" applyAlignment="1">
      <alignment wrapText="1"/>
    </xf>
    <xf numFmtId="0" fontId="1" fillId="0" borderId="0" xfId="50" applyFont="1"/>
    <xf numFmtId="0" fontId="2" fillId="0" borderId="0" xfId="50" applyFont="1"/>
    <xf numFmtId="0" fontId="3" fillId="0" borderId="0" xfId="50" applyFont="1"/>
    <xf numFmtId="180" fontId="3" fillId="0" borderId="0" xfId="50" applyNumberFormat="1" applyFont="1"/>
    <xf numFmtId="0" fontId="3" fillId="0" borderId="0" xfId="0" applyFont="1"/>
    <xf numFmtId="180" fontId="3" fillId="0" borderId="1" xfId="0" applyNumberFormat="1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1" fontId="3" fillId="0" borderId="6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3" fillId="0" borderId="5" xfId="0" applyFont="1" applyBorder="1"/>
    <xf numFmtId="0" fontId="5" fillId="0" borderId="5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4" fillId="2" borderId="8" xfId="0" applyFont="1" applyFill="1" applyBorder="1"/>
    <xf numFmtId="0" fontId="6" fillId="2" borderId="8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0" applyNumberFormat="1" applyFont="1" applyAlignment="1">
      <alignment horizontal="center"/>
    </xf>
    <xf numFmtId="9" fontId="3" fillId="0" borderId="0" xfId="0" applyNumberFormat="1" applyFont="1" applyAlignment="1">
      <alignment horizontal="center"/>
    </xf>
    <xf numFmtId="2" fontId="7" fillId="0" borderId="0" xfId="0" applyNumberFormat="1" applyFont="1" applyAlignment="1">
      <alignment horizontal="right" wrapText="1"/>
    </xf>
    <xf numFmtId="0" fontId="8" fillId="0" borderId="0" xfId="0" applyFont="1" applyAlignment="1">
      <alignment horizontal="center" wrapText="1"/>
    </xf>
    <xf numFmtId="0" fontId="2" fillId="3" borderId="0" xfId="51" applyFont="1" applyFill="1"/>
    <xf numFmtId="0" fontId="9" fillId="3" borderId="0" xfId="0" applyFont="1" applyFill="1" applyAlignment="1">
      <alignment horizontal="center" wrapText="1"/>
    </xf>
    <xf numFmtId="0" fontId="9" fillId="3" borderId="0" xfId="0" applyFont="1" applyFill="1" applyAlignment="1">
      <alignment wrapText="1"/>
    </xf>
    <xf numFmtId="0" fontId="8" fillId="3" borderId="0" xfId="0" applyFont="1" applyFill="1" applyAlignment="1">
      <alignment wrapText="1"/>
    </xf>
    <xf numFmtId="0" fontId="9" fillId="3" borderId="0" xfId="0" applyFont="1" applyFill="1"/>
    <xf numFmtId="0" fontId="9" fillId="3" borderId="10" xfId="0" applyFont="1" applyFill="1" applyBorder="1" applyAlignment="1">
      <alignment horizontal="center" wrapText="1"/>
    </xf>
    <xf numFmtId="0" fontId="2" fillId="3" borderId="11" xfId="51" applyFont="1" applyFill="1" applyBorder="1" applyAlignment="1">
      <alignment horizontal="left" vertical="top" wrapText="1"/>
    </xf>
    <xf numFmtId="0" fontId="3" fillId="3" borderId="12" xfId="51" applyFont="1" applyFill="1" applyBorder="1" applyAlignment="1">
      <alignment horizontal="left" wrapText="1"/>
    </xf>
    <xf numFmtId="0" fontId="3" fillId="3" borderId="13" xfId="51" applyFont="1" applyFill="1" applyBorder="1" applyAlignment="1">
      <alignment horizontal="left" wrapText="1"/>
    </xf>
    <xf numFmtId="0" fontId="3" fillId="3" borderId="0" xfId="51" applyFont="1" applyFill="1" applyAlignment="1">
      <alignment horizontal="left" wrapText="1"/>
    </xf>
    <xf numFmtId="0" fontId="8" fillId="3" borderId="0" xfId="0" applyFont="1" applyFill="1" applyAlignment="1">
      <alignment horizontal="center" wrapText="1"/>
    </xf>
    <xf numFmtId="0" fontId="2" fillId="3" borderId="14" xfId="51" applyFont="1" applyFill="1" applyBorder="1" applyAlignment="1">
      <alignment horizontal="left" vertical="center" wrapText="1"/>
    </xf>
    <xf numFmtId="0" fontId="3" fillId="3" borderId="15" xfId="51" applyFont="1" applyFill="1" applyBorder="1" applyAlignment="1">
      <alignment horizontal="left" vertical="top" wrapText="1"/>
    </xf>
    <xf numFmtId="0" fontId="3" fillId="3" borderId="16" xfId="51" applyFont="1" applyFill="1" applyBorder="1" applyAlignment="1">
      <alignment horizontal="left" vertical="top" wrapText="1"/>
    </xf>
    <xf numFmtId="0" fontId="3" fillId="3" borderId="17" xfId="51" applyFont="1" applyFill="1" applyBorder="1" applyAlignment="1">
      <alignment horizontal="left" vertical="top" wrapText="1"/>
    </xf>
    <xf numFmtId="0" fontId="2" fillId="3" borderId="14" xfId="51" applyFont="1" applyFill="1" applyBorder="1" applyAlignment="1">
      <alignment horizontal="left" vertical="top" wrapText="1"/>
    </xf>
    <xf numFmtId="0" fontId="3" fillId="3" borderId="15" xfId="51" applyFont="1" applyFill="1" applyBorder="1" applyAlignment="1">
      <alignment horizontal="left" vertical="center" wrapText="1"/>
    </xf>
    <xf numFmtId="0" fontId="3" fillId="3" borderId="16" xfId="51" applyFont="1" applyFill="1" applyBorder="1" applyAlignment="1">
      <alignment horizontal="left" vertical="center" wrapText="1"/>
    </xf>
    <xf numFmtId="0" fontId="3" fillId="3" borderId="17" xfId="51" applyFont="1" applyFill="1" applyBorder="1" applyAlignment="1">
      <alignment horizontal="left" vertical="center" wrapText="1"/>
    </xf>
    <xf numFmtId="0" fontId="3" fillId="3" borderId="0" xfId="51" applyFont="1" applyFill="1" applyAlignment="1">
      <alignment horizontal="left" vertical="center" wrapText="1"/>
    </xf>
    <xf numFmtId="0" fontId="8" fillId="3" borderId="0" xfId="0" applyFont="1" applyFill="1" applyAlignment="1">
      <alignment horizontal="center" vertical="center" wrapText="1"/>
    </xf>
    <xf numFmtId="0" fontId="8" fillId="3" borderId="14" xfId="0" applyFont="1" applyFill="1" applyBorder="1" applyAlignment="1">
      <alignment horizontal="right"/>
    </xf>
    <xf numFmtId="0" fontId="8" fillId="3" borderId="18" xfId="0" applyFont="1" applyFill="1" applyBorder="1" applyAlignment="1">
      <alignment wrapText="1"/>
    </xf>
    <xf numFmtId="0" fontId="8" fillId="3" borderId="18" xfId="0" applyFont="1" applyFill="1" applyBorder="1" applyAlignment="1">
      <alignment horizontal="center" wrapText="1"/>
    </xf>
    <xf numFmtId="0" fontId="8" fillId="3" borderId="19" xfId="0" applyFont="1" applyFill="1" applyBorder="1" applyAlignment="1">
      <alignment horizontal="center" wrapText="1"/>
    </xf>
    <xf numFmtId="0" fontId="8" fillId="3" borderId="20" xfId="0" applyFont="1" applyFill="1" applyBorder="1" applyAlignment="1">
      <alignment horizontal="right"/>
    </xf>
    <xf numFmtId="0" fontId="8" fillId="3" borderId="21" xfId="0" applyFont="1" applyFill="1" applyBorder="1" applyAlignment="1">
      <alignment wrapText="1"/>
    </xf>
    <xf numFmtId="0" fontId="8" fillId="0" borderId="21" xfId="0" applyFont="1" applyBorder="1" applyAlignment="1">
      <alignment horizontal="center"/>
    </xf>
    <xf numFmtId="1" fontId="8" fillId="3" borderId="22" xfId="0" applyNumberFormat="1" applyFont="1" applyFill="1" applyBorder="1" applyAlignment="1">
      <alignment horizontal="center" wrapText="1"/>
    </xf>
    <xf numFmtId="1" fontId="8" fillId="3" borderId="0" xfId="0" applyNumberFormat="1" applyFont="1" applyFill="1" applyAlignment="1">
      <alignment horizontal="center" wrapText="1"/>
    </xf>
    <xf numFmtId="0" fontId="8" fillId="3" borderId="23" xfId="0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 wrapText="1"/>
    </xf>
    <xf numFmtId="0" fontId="4" fillId="4" borderId="25" xfId="51" applyFont="1" applyFill="1" applyBorder="1" applyAlignment="1">
      <alignment horizontal="center" vertical="center" wrapText="1"/>
    </xf>
    <xf numFmtId="0" fontId="4" fillId="4" borderId="25" xfId="51" applyFont="1" applyFill="1" applyBorder="1" applyAlignment="1">
      <alignment vertical="center" wrapText="1"/>
    </xf>
    <xf numFmtId="0" fontId="4" fillId="4" borderId="26" xfId="51" applyFont="1" applyFill="1" applyBorder="1" applyAlignment="1">
      <alignment horizontal="center" vertical="center" wrapText="1"/>
    </xf>
    <xf numFmtId="0" fontId="4" fillId="4" borderId="0" xfId="51" applyFont="1" applyFill="1" applyAlignment="1">
      <alignment horizontal="center" vertical="center" wrapText="1"/>
    </xf>
    <xf numFmtId="0" fontId="4" fillId="4" borderId="27" xfId="51" applyFont="1" applyFill="1" applyBorder="1" applyAlignment="1">
      <alignment horizontal="center" vertical="center" wrapText="1"/>
    </xf>
    <xf numFmtId="0" fontId="4" fillId="4" borderId="28" xfId="51" applyFont="1" applyFill="1" applyBorder="1" applyAlignment="1">
      <alignment horizontal="center" vertical="center" wrapText="1"/>
    </xf>
    <xf numFmtId="0" fontId="4" fillId="4" borderId="29" xfId="51" applyFont="1" applyFill="1" applyBorder="1" applyAlignment="1">
      <alignment horizontal="center" vertical="center" wrapText="1"/>
    </xf>
    <xf numFmtId="0" fontId="4" fillId="4" borderId="18" xfId="51" applyFont="1" applyFill="1" applyBorder="1" applyAlignment="1">
      <alignment horizontal="center" vertical="center" wrapText="1"/>
    </xf>
    <xf numFmtId="0" fontId="4" fillId="4" borderId="18" xfId="51" applyFont="1" applyFill="1" applyBorder="1" applyAlignment="1">
      <alignment vertical="center" wrapText="1"/>
    </xf>
    <xf numFmtId="0" fontId="4" fillId="4" borderId="30" xfId="51" applyFont="1" applyFill="1" applyBorder="1" applyAlignment="1">
      <alignment horizontal="center" vertical="center" wrapText="1"/>
    </xf>
    <xf numFmtId="0" fontId="4" fillId="4" borderId="24" xfId="51" applyFont="1" applyFill="1" applyBorder="1" applyAlignment="1">
      <alignment horizontal="center" vertical="center" wrapText="1"/>
    </xf>
    <xf numFmtId="0" fontId="4" fillId="4" borderId="31" xfId="51" applyFont="1" applyFill="1" applyBorder="1" applyAlignment="1">
      <alignment horizontal="center" vertical="center" wrapText="1"/>
    </xf>
    <xf numFmtId="0" fontId="10" fillId="5" borderId="16" xfId="0" applyFont="1" applyFill="1" applyBorder="1" applyAlignment="1">
      <alignment horizontal="left" vertical="center"/>
    </xf>
    <xf numFmtId="0" fontId="10" fillId="5" borderId="32" xfId="0" applyFont="1" applyFill="1" applyBorder="1" applyAlignment="1">
      <alignment horizontal="left" vertical="center"/>
    </xf>
    <xf numFmtId="0" fontId="11" fillId="6" borderId="15" xfId="51" applyFont="1" applyFill="1" applyBorder="1" applyAlignment="1">
      <alignment horizontal="left" vertical="center" wrapText="1"/>
    </xf>
    <xf numFmtId="0" fontId="11" fillId="6" borderId="16" xfId="51" applyFont="1" applyFill="1" applyBorder="1" applyAlignment="1">
      <alignment horizontal="left" vertical="center" wrapText="1"/>
    </xf>
    <xf numFmtId="0" fontId="11" fillId="6" borderId="32" xfId="51" applyFont="1" applyFill="1" applyBorder="1" applyAlignment="1">
      <alignment horizontal="left" vertical="center" wrapText="1"/>
    </xf>
    <xf numFmtId="181" fontId="8" fillId="0" borderId="18" xfId="0" applyNumberFormat="1" applyFont="1" applyBorder="1" applyAlignment="1">
      <alignment horizontal="left" vertical="top" wrapText="1"/>
    </xf>
    <xf numFmtId="0" fontId="8" fillId="0" borderId="18" xfId="0" applyFont="1" applyBorder="1" applyAlignment="1">
      <alignment vertical="top" wrapText="1"/>
    </xf>
    <xf numFmtId="0" fontId="8" fillId="0" borderId="18" xfId="0" applyFont="1" applyBorder="1" applyAlignment="1">
      <alignment horizontal="left" vertical="top" wrapText="1"/>
    </xf>
    <xf numFmtId="0" fontId="8" fillId="0" borderId="33" xfId="0" applyFont="1" applyBorder="1" applyAlignment="1">
      <alignment horizontal="left" vertical="top" wrapText="1"/>
    </xf>
    <xf numFmtId="0" fontId="8" fillId="0" borderId="34" xfId="0" applyFont="1" applyBorder="1" applyAlignment="1">
      <alignment horizontal="left" vertical="top" wrapText="1"/>
    </xf>
    <xf numFmtId="0" fontId="8" fillId="0" borderId="35" xfId="0" applyFont="1" applyBorder="1" applyAlignment="1">
      <alignment horizontal="left" vertical="top" wrapText="1"/>
    </xf>
    <xf numFmtId="0" fontId="8" fillId="0" borderId="16" xfId="0" applyFont="1" applyBorder="1" applyAlignment="1">
      <alignment horizontal="left" vertical="top" wrapText="1"/>
    </xf>
    <xf numFmtId="0" fontId="12" fillId="0" borderId="15" xfId="0" applyFont="1" applyBorder="1" applyAlignment="1">
      <alignment horizontal="left" vertical="top" wrapText="1"/>
    </xf>
    <xf numFmtId="0" fontId="8" fillId="0" borderId="15" xfId="0" applyFont="1" applyBorder="1" applyAlignment="1">
      <alignment horizontal="left" vertical="top" wrapText="1"/>
    </xf>
    <xf numFmtId="0" fontId="8" fillId="0" borderId="32" xfId="0" applyFont="1" applyBorder="1" applyAlignment="1">
      <alignment horizontal="left" vertical="top" wrapText="1"/>
    </xf>
    <xf numFmtId="0" fontId="12" fillId="0" borderId="18" xfId="0" applyFont="1" applyBorder="1" applyAlignment="1">
      <alignment horizontal="left" vertical="top" wrapText="1"/>
    </xf>
    <xf numFmtId="0" fontId="11" fillId="6" borderId="24" xfId="51" applyFont="1" applyFill="1" applyBorder="1" applyAlignment="1">
      <alignment horizontal="left" vertical="center" wrapText="1"/>
    </xf>
    <xf numFmtId="0" fontId="8" fillId="0" borderId="31" xfId="0" applyFont="1" applyBorder="1" applyAlignment="1">
      <alignment horizontal="left" vertical="top" wrapText="1"/>
    </xf>
    <xf numFmtId="0" fontId="8" fillId="0" borderId="29" xfId="0" applyFont="1" applyBorder="1" applyAlignment="1">
      <alignment horizontal="left" vertical="top" wrapText="1"/>
    </xf>
    <xf numFmtId="181" fontId="8" fillId="0" borderId="28" xfId="0" applyNumberFormat="1" applyFont="1" applyFill="1" applyBorder="1" applyAlignment="1">
      <alignment horizontal="left" vertical="top" wrapText="1"/>
    </xf>
    <xf numFmtId="0" fontId="3" fillId="0" borderId="18" xfId="0" applyFont="1" applyBorder="1" applyAlignment="1">
      <alignment vertical="top" wrapText="1"/>
    </xf>
    <xf numFmtId="0" fontId="3" fillId="0" borderId="32" xfId="0" applyFont="1" applyBorder="1" applyAlignment="1">
      <alignment vertical="top" wrapText="1"/>
    </xf>
    <xf numFmtId="0" fontId="3" fillId="0" borderId="15" xfId="0" applyFont="1" applyBorder="1" applyAlignment="1">
      <alignment horizontal="left" vertical="top" wrapText="1"/>
    </xf>
    <xf numFmtId="0" fontId="3" fillId="0" borderId="16" xfId="0" applyFont="1" applyBorder="1" applyAlignment="1">
      <alignment horizontal="left" vertical="top" wrapText="1"/>
    </xf>
    <xf numFmtId="0" fontId="3" fillId="0" borderId="32" xfId="0" applyFont="1" applyBorder="1" applyAlignment="1">
      <alignment horizontal="left" vertical="top" wrapText="1"/>
    </xf>
    <xf numFmtId="0" fontId="3" fillId="0" borderId="18" xfId="0" applyFont="1" applyBorder="1" applyAlignment="1">
      <alignment horizontal="left" vertical="top" wrapText="1"/>
    </xf>
    <xf numFmtId="181" fontId="8" fillId="0" borderId="15" xfId="0" applyNumberFormat="1" applyFont="1" applyBorder="1" applyAlignment="1">
      <alignment horizontal="left" vertical="top" wrapText="1"/>
    </xf>
    <xf numFmtId="0" fontId="13" fillId="3" borderId="0" xfId="0" applyFont="1" applyFill="1" applyAlignment="1">
      <alignment wrapText="1"/>
    </xf>
    <xf numFmtId="0" fontId="13" fillId="3" borderId="10" xfId="0" applyFont="1" applyFill="1" applyBorder="1" applyAlignment="1">
      <alignment wrapText="1"/>
    </xf>
    <xf numFmtId="0" fontId="2" fillId="3" borderId="11" xfId="51" applyFont="1" applyFill="1" applyBorder="1" applyAlignment="1">
      <alignment horizontal="left" wrapText="1"/>
    </xf>
    <xf numFmtId="0" fontId="13" fillId="0" borderId="15" xfId="0" applyFont="1" applyBorder="1" applyAlignment="1">
      <alignment horizontal="left" vertical="top" wrapText="1"/>
    </xf>
    <xf numFmtId="0" fontId="13" fillId="0" borderId="18" xfId="51" applyFont="1" applyFill="1" applyBorder="1" applyAlignment="1">
      <alignment horizontal="left" vertical="top" wrapText="1"/>
    </xf>
    <xf numFmtId="0" fontId="13" fillId="0" borderId="15" xfId="51" applyFont="1" applyFill="1" applyBorder="1" applyAlignment="1">
      <alignment horizontal="left" vertical="top" wrapText="1"/>
    </xf>
    <xf numFmtId="0" fontId="11" fillId="0" borderId="16" xfId="51" applyFont="1" applyFill="1" applyBorder="1" applyAlignment="1">
      <alignment horizontal="left" vertical="top" wrapText="1"/>
    </xf>
    <xf numFmtId="0" fontId="11" fillId="0" borderId="32" xfId="51" applyFont="1" applyFill="1" applyBorder="1" applyAlignment="1">
      <alignment horizontal="left" vertical="top" wrapText="1"/>
    </xf>
    <xf numFmtId="0" fontId="11" fillId="0" borderId="18" xfId="51" applyFont="1" applyFill="1" applyBorder="1" applyAlignment="1">
      <alignment horizontal="left" vertical="center" wrapText="1"/>
    </xf>
    <xf numFmtId="0" fontId="8" fillId="0" borderId="18" xfId="51" applyFont="1" applyFill="1" applyBorder="1" applyAlignment="1">
      <alignment horizontal="left" vertical="center" wrapText="1"/>
    </xf>
    <xf numFmtId="0" fontId="13" fillId="0" borderId="16" xfId="0" applyFont="1" applyBorder="1" applyAlignment="1">
      <alignment horizontal="left" vertical="top" wrapText="1"/>
    </xf>
    <xf numFmtId="0" fontId="13" fillId="0" borderId="32" xfId="0" applyFont="1" applyBorder="1" applyAlignment="1">
      <alignment horizontal="left" vertical="top" wrapText="1"/>
    </xf>
    <xf numFmtId="0" fontId="9" fillId="0" borderId="0" xfId="0" applyFont="1"/>
    <xf numFmtId="0" fontId="8" fillId="0" borderId="0" xfId="0" applyFont="1"/>
    <xf numFmtId="0" fontId="8" fillId="0" borderId="0" xfId="0" applyFont="1" applyAlignment="1">
      <alignment vertical="center" wrapText="1"/>
    </xf>
    <xf numFmtId="0" fontId="14" fillId="0" borderId="0" xfId="0" applyFont="1"/>
    <xf numFmtId="0" fontId="15" fillId="0" borderId="0" xfId="0" applyFont="1"/>
    <xf numFmtId="0" fontId="9" fillId="0" borderId="0" xfId="0" applyFont="1" applyAlignment="1">
      <alignment vertical="top"/>
    </xf>
    <xf numFmtId="0" fontId="8" fillId="3" borderId="0" xfId="0" applyFont="1" applyFill="1"/>
    <xf numFmtId="0" fontId="8" fillId="3" borderId="0" xfId="0" applyFont="1" applyFill="1" applyAlignment="1">
      <alignment vertical="center" wrapText="1"/>
    </xf>
    <xf numFmtId="0" fontId="14" fillId="3" borderId="0" xfId="0" applyFont="1" applyFill="1"/>
    <xf numFmtId="0" fontId="11" fillId="6" borderId="15" xfId="51" applyFont="1" applyFill="1" applyBorder="1" applyAlignment="1">
      <alignment horizontal="center" vertical="center" wrapText="1"/>
    </xf>
    <xf numFmtId="0" fontId="11" fillId="6" borderId="16" xfId="51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top" wrapText="1"/>
    </xf>
    <xf numFmtId="0" fontId="11" fillId="0" borderId="15" xfId="0" applyFont="1" applyBorder="1" applyAlignment="1">
      <alignment horizontal="left" vertical="top" wrapText="1"/>
    </xf>
    <xf numFmtId="0" fontId="8" fillId="0" borderId="18" xfId="0" applyFont="1" applyBorder="1" applyAlignment="1">
      <alignment horizontal="center" vertical="top" wrapText="1"/>
    </xf>
    <xf numFmtId="0" fontId="11" fillId="0" borderId="16" xfId="0" applyFont="1" applyBorder="1" applyAlignment="1">
      <alignment horizontal="left" vertical="top" wrapText="1"/>
    </xf>
    <xf numFmtId="0" fontId="16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6" fillId="0" borderId="0" xfId="0" applyFont="1"/>
    <xf numFmtId="0" fontId="16" fillId="3" borderId="0" xfId="0" applyFont="1" applyFill="1"/>
    <xf numFmtId="0" fontId="17" fillId="3" borderId="0" xfId="0" applyFont="1" applyFill="1"/>
    <xf numFmtId="0" fontId="18" fillId="3" borderId="0" xfId="0" applyFont="1" applyFill="1"/>
    <xf numFmtId="0" fontId="19" fillId="0" borderId="0" xfId="49" applyFont="1"/>
    <xf numFmtId="0" fontId="20" fillId="0" borderId="0" xfId="49"/>
    <xf numFmtId="0" fontId="21" fillId="0" borderId="36" xfId="49" applyFont="1" applyBorder="1"/>
    <xf numFmtId="0" fontId="22" fillId="0" borderId="0" xfId="49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180" fontId="26" fillId="2" borderId="2" xfId="0" applyNumberFormat="1" applyFont="1" applyFill="1" applyBorder="1" applyAlignment="1">
      <alignment horizontal="center" vertical="center"/>
    </xf>
    <xf numFmtId="0" fontId="26" fillId="2" borderId="3" xfId="0" applyFont="1" applyFill="1" applyBorder="1" applyAlignment="1">
      <alignment horizontal="center" vertical="center"/>
    </xf>
    <xf numFmtId="0" fontId="26" fillId="2" borderId="3" xfId="0" applyFont="1" applyFill="1" applyBorder="1" applyAlignment="1">
      <alignment horizontal="center" vertical="center" wrapText="1"/>
    </xf>
    <xf numFmtId="0" fontId="26" fillId="2" borderId="37" xfId="0" applyFont="1" applyFill="1" applyBorder="1" applyAlignment="1">
      <alignment horizontal="center" vertical="center"/>
    </xf>
    <xf numFmtId="0" fontId="25" fillId="7" borderId="36" xfId="49" applyFont="1" applyFill="1" applyBorder="1" applyAlignment="1">
      <alignment horizontal="center" vertical="center" wrapText="1"/>
    </xf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_Functional Test Case v1.0" xfId="50"/>
    <cellStyle name="Normal_Sheet1_Vanco_CR022a1_TestCase_v0.1" xfId="51"/>
    <cellStyle name="標準_結合試験(AllOvertheWorld)" xfId="52"/>
  </cellStyles>
  <tableStyles count="1" defaultTableStyle="TableStyleMedium9" defaultPivotStyle="PivotStyleLight16">
    <tableStyle name="Table Style 1" pivot="0" count="0" xr9:uid="{F7E00C52-7677-4CF7-8502-45BEFC62BBA4}"/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osdc-nt2\osdc\Documents%20and%20Settings\ThoanCT\My%20Documents\Copy%20of%20DataLoadSheet9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Validation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26"/>
  <sheetViews>
    <sheetView showGridLines="0" zoomScale="86" zoomScaleNormal="86" topLeftCell="A22" workbookViewId="0">
      <selection activeCell="B27" sqref="B27"/>
    </sheetView>
  </sheetViews>
  <sheetFormatPr defaultColWidth="9" defaultRowHeight="13.8"/>
  <cols>
    <col min="1" max="1" width="9" style="130"/>
    <col min="2" max="2" width="19.8796296296296" style="130" customWidth="1"/>
    <col min="3" max="3" width="23.1296296296296" style="130" customWidth="1"/>
    <col min="4" max="4" width="18.5" style="130" customWidth="1"/>
    <col min="5" max="5" width="52" style="130" customWidth="1"/>
    <col min="6" max="6" width="28.5" style="130" customWidth="1"/>
    <col min="7" max="7" width="11.1296296296296" style="130" customWidth="1"/>
    <col min="8" max="8" width="31.6296296296296" style="130" customWidth="1"/>
    <col min="9" max="16384" width="9" style="130"/>
  </cols>
  <sheetData>
    <row r="2" ht="24.6" spans="1:9">
      <c r="A2" s="131"/>
      <c r="B2" s="132" t="s">
        <v>0</v>
      </c>
      <c r="C2" s="131"/>
      <c r="D2" s="131"/>
      <c r="E2" s="131"/>
      <c r="F2" s="131"/>
      <c r="G2" s="131"/>
    </row>
    <row r="3" ht="16.8" spans="1:9">
      <c r="A3" s="131"/>
      <c r="B3" s="133" t="s">
        <v>1</v>
      </c>
      <c r="C3" s="134" t="s">
        <v>2</v>
      </c>
      <c r="D3" s="135"/>
      <c r="E3" s="135"/>
      <c r="F3" s="135"/>
      <c r="G3" s="135"/>
      <c r="H3" s="135"/>
      <c r="I3" s="135"/>
    </row>
    <row r="4" ht="16.8" spans="1:9">
      <c r="A4" s="131"/>
      <c r="B4" s="133" t="s">
        <v>3</v>
      </c>
      <c r="C4" s="134" t="s">
        <v>4</v>
      </c>
      <c r="D4" s="135"/>
      <c r="E4" s="135"/>
      <c r="F4" s="135"/>
      <c r="G4" s="135"/>
      <c r="H4" s="135"/>
      <c r="I4" s="135"/>
    </row>
    <row r="5" ht="16.8" spans="1:9">
      <c r="A5" s="131"/>
      <c r="B5" s="133"/>
      <c r="C5" s="135"/>
      <c r="D5" s="135"/>
      <c r="E5" s="135"/>
      <c r="F5" s="135"/>
      <c r="G5" s="135"/>
      <c r="H5" s="135"/>
      <c r="I5" s="135"/>
    </row>
    <row r="6" ht="14.25" customHeight="1" spans="1:9">
      <c r="A6" s="131"/>
      <c r="B6" s="133" t="s">
        <v>5</v>
      </c>
      <c r="C6" s="136" t="s">
        <v>6</v>
      </c>
      <c r="D6" s="135"/>
      <c r="E6" s="137"/>
      <c r="F6" s="135"/>
      <c r="G6" s="135"/>
      <c r="H6" s="135"/>
      <c r="I6" s="135"/>
    </row>
    <row r="7" ht="13.9" customHeight="1" spans="1:9">
      <c r="A7" s="131"/>
      <c r="B7" s="133" t="s">
        <v>7</v>
      </c>
      <c r="C7" s="136" t="s">
        <v>8</v>
      </c>
      <c r="D7" s="135"/>
      <c r="E7" s="135"/>
      <c r="F7" s="135"/>
      <c r="G7" s="135"/>
      <c r="H7" s="135"/>
      <c r="I7" s="135"/>
    </row>
    <row r="8" ht="16.8" spans="1:9">
      <c r="A8" s="131"/>
      <c r="B8" s="133"/>
      <c r="C8" s="131"/>
      <c r="D8" s="131"/>
      <c r="E8" s="131"/>
      <c r="F8" s="131"/>
      <c r="G8" s="131"/>
    </row>
    <row r="9" ht="16.8" spans="1:9">
      <c r="A9" s="131"/>
      <c r="B9" s="138"/>
      <c r="C9" s="6"/>
      <c r="D9" s="6"/>
      <c r="E9" s="6"/>
      <c r="F9" s="131"/>
      <c r="G9" s="131"/>
    </row>
    <row r="10" ht="16.8" spans="1:9">
      <c r="B10" s="139" t="s">
        <v>9</v>
      </c>
      <c r="C10" s="140"/>
      <c r="D10" s="140"/>
      <c r="E10" s="140"/>
      <c r="F10" s="140"/>
      <c r="G10" s="140"/>
      <c r="H10" s="140"/>
    </row>
    <row r="11" s="128" customFormat="1" ht="50.4" spans="1:9">
      <c r="B11" s="141" t="s">
        <v>10</v>
      </c>
      <c r="C11" s="142" t="s">
        <v>11</v>
      </c>
      <c r="D11" s="142" t="s">
        <v>12</v>
      </c>
      <c r="E11" s="142" t="s">
        <v>13</v>
      </c>
      <c r="F11" s="142" t="s">
        <v>14</v>
      </c>
      <c r="G11" s="143" t="s">
        <v>15</v>
      </c>
      <c r="H11" s="144" t="s">
        <v>16</v>
      </c>
    </row>
    <row r="12" s="128" customFormat="1" ht="49.9" customHeight="1" spans="1:9">
      <c r="B12" s="145" t="s">
        <v>17</v>
      </c>
      <c r="C12" s="145" t="s">
        <v>18</v>
      </c>
      <c r="D12" s="145"/>
      <c r="E12" s="145" t="s">
        <v>19</v>
      </c>
      <c r="F12" s="145" t="s">
        <v>20</v>
      </c>
      <c r="G12" s="145"/>
      <c r="H12" s="145" t="s">
        <v>21</v>
      </c>
    </row>
    <row r="13" s="128" customFormat="1" ht="49.9" customHeight="1" spans="1:9">
      <c r="B13" s="145" t="s">
        <v>22</v>
      </c>
      <c r="C13" s="145" t="s">
        <v>23</v>
      </c>
      <c r="D13" s="145" t="s">
        <v>24</v>
      </c>
      <c r="E13" s="145" t="s">
        <v>25</v>
      </c>
      <c r="F13" s="145" t="s">
        <v>20</v>
      </c>
      <c r="G13" s="145"/>
      <c r="H13" s="145" t="s">
        <v>26</v>
      </c>
    </row>
    <row r="14" s="129" customFormat="1" ht="49.9" customHeight="1" spans="1:9">
      <c r="B14" s="145" t="s">
        <v>27</v>
      </c>
      <c r="C14" s="145" t="s">
        <v>23</v>
      </c>
      <c r="D14" s="145" t="s">
        <v>28</v>
      </c>
      <c r="E14" s="145" t="s">
        <v>29</v>
      </c>
      <c r="F14" s="145" t="s">
        <v>20</v>
      </c>
      <c r="G14" s="145"/>
      <c r="H14" s="145" t="s">
        <v>30</v>
      </c>
    </row>
    <row r="15" s="129" customFormat="1" ht="49.9" customHeight="1" spans="1:9">
      <c r="B15" s="145" t="s">
        <v>31</v>
      </c>
      <c r="C15" s="145" t="s">
        <v>32</v>
      </c>
      <c r="D15" s="145" t="s">
        <v>33</v>
      </c>
      <c r="E15" s="145" t="s">
        <v>34</v>
      </c>
      <c r="F15" s="145" t="s">
        <v>35</v>
      </c>
      <c r="G15" s="145"/>
      <c r="H15" s="145" t="s">
        <v>36</v>
      </c>
    </row>
    <row r="16" s="128" customFormat="1" ht="49.9" customHeight="1" spans="1:9">
      <c r="B16" s="145" t="s">
        <v>37</v>
      </c>
      <c r="C16" s="145" t="s">
        <v>32</v>
      </c>
      <c r="D16" s="145" t="s">
        <v>38</v>
      </c>
      <c r="E16" s="145" t="s">
        <v>39</v>
      </c>
      <c r="F16" s="145" t="s">
        <v>40</v>
      </c>
      <c r="G16" s="145" t="s">
        <v>20</v>
      </c>
      <c r="H16" s="145" t="s">
        <v>41</v>
      </c>
    </row>
    <row r="17" s="128" customFormat="1" ht="49.9" customHeight="1" spans="2:8">
      <c r="B17" s="145" t="s">
        <v>42</v>
      </c>
      <c r="C17" s="145" t="s">
        <v>32</v>
      </c>
      <c r="D17" s="145" t="s">
        <v>43</v>
      </c>
      <c r="E17" s="145" t="s">
        <v>44</v>
      </c>
      <c r="F17" s="145" t="s">
        <v>20</v>
      </c>
      <c r="G17" s="145"/>
      <c r="H17" s="145" t="s">
        <v>45</v>
      </c>
    </row>
    <row r="18" s="128" customFormat="1" ht="49.9" customHeight="1" spans="2:8">
      <c r="B18" s="145" t="s">
        <v>46</v>
      </c>
      <c r="C18" s="145" t="s">
        <v>47</v>
      </c>
      <c r="D18" s="145" t="s">
        <v>48</v>
      </c>
      <c r="E18" s="145" t="s">
        <v>49</v>
      </c>
      <c r="F18" s="145" t="s">
        <v>50</v>
      </c>
      <c r="G18" s="145" t="s">
        <v>20</v>
      </c>
      <c r="H18" s="145" t="s">
        <v>51</v>
      </c>
    </row>
    <row r="19" s="128" customFormat="1" ht="49.9" customHeight="1" spans="2:8">
      <c r="B19" s="145" t="s">
        <v>46</v>
      </c>
      <c r="C19" s="145" t="s">
        <v>47</v>
      </c>
      <c r="D19" s="145" t="s">
        <v>52</v>
      </c>
      <c r="E19" s="145" t="s">
        <v>53</v>
      </c>
      <c r="F19" s="145" t="s">
        <v>40</v>
      </c>
      <c r="G19" s="145" t="s">
        <v>20</v>
      </c>
      <c r="H19" s="145" t="s">
        <v>54</v>
      </c>
    </row>
    <row r="20" s="128" customFormat="1" ht="49.9" customHeight="1" spans="2:8">
      <c r="B20" s="145" t="s">
        <v>55</v>
      </c>
      <c r="C20" s="145" t="s">
        <v>47</v>
      </c>
      <c r="D20" s="145" t="s">
        <v>56</v>
      </c>
      <c r="E20" s="145" t="s">
        <v>57</v>
      </c>
      <c r="F20" s="145" t="s">
        <v>20</v>
      </c>
      <c r="G20" s="145"/>
      <c r="H20" s="145" t="s">
        <v>58</v>
      </c>
    </row>
    <row r="21" s="128" customFormat="1" ht="49.9" customHeight="1" spans="2:8">
      <c r="B21" s="145" t="s">
        <v>59</v>
      </c>
      <c r="C21" s="145" t="s">
        <v>47</v>
      </c>
      <c r="D21" s="145" t="s">
        <v>60</v>
      </c>
      <c r="E21" s="145" t="s">
        <v>61</v>
      </c>
      <c r="F21" s="145" t="s">
        <v>20</v>
      </c>
      <c r="G21" s="145"/>
      <c r="H21" s="145" t="s">
        <v>62</v>
      </c>
    </row>
    <row r="22" s="128" customFormat="1" ht="49.9" customHeight="1" spans="2:8">
      <c r="B22" s="145" t="s">
        <v>59</v>
      </c>
      <c r="C22" s="145" t="s">
        <v>2</v>
      </c>
      <c r="D22" s="145" t="s">
        <v>63</v>
      </c>
      <c r="E22" s="145" t="s">
        <v>64</v>
      </c>
      <c r="F22" s="145" t="s">
        <v>40</v>
      </c>
      <c r="G22" s="145" t="s">
        <v>20</v>
      </c>
      <c r="H22" s="145" t="s">
        <v>65</v>
      </c>
    </row>
    <row r="23" s="128" customFormat="1" ht="49.9" customHeight="1" spans="2:8">
      <c r="B23" s="145" t="s">
        <v>66</v>
      </c>
      <c r="C23" s="145" t="s">
        <v>2</v>
      </c>
      <c r="D23" s="145" t="s">
        <v>48</v>
      </c>
      <c r="E23" s="145" t="s">
        <v>67</v>
      </c>
      <c r="F23" s="145" t="s">
        <v>20</v>
      </c>
      <c r="G23" s="145"/>
      <c r="H23" s="145" t="s">
        <v>68</v>
      </c>
    </row>
    <row r="24" ht="49.9" customHeight="1" spans="2:8">
      <c r="B24" s="145" t="s">
        <v>66</v>
      </c>
      <c r="C24" s="145" t="s">
        <v>2</v>
      </c>
      <c r="D24" s="145" t="s">
        <v>69</v>
      </c>
      <c r="E24" s="145" t="s">
        <v>70</v>
      </c>
      <c r="F24" s="145" t="s">
        <v>50</v>
      </c>
      <c r="G24" s="145" t="s">
        <v>20</v>
      </c>
      <c r="H24" s="145" t="s">
        <v>71</v>
      </c>
    </row>
    <row r="25" ht="49.9" customHeight="1" spans="2:8">
      <c r="B25" s="145" t="s">
        <v>66</v>
      </c>
      <c r="C25" s="145" t="s">
        <v>2</v>
      </c>
      <c r="D25" s="145" t="s">
        <v>56</v>
      </c>
      <c r="E25" s="145" t="s">
        <v>72</v>
      </c>
      <c r="F25" s="145" t="s">
        <v>40</v>
      </c>
      <c r="G25" s="145" t="s">
        <v>20</v>
      </c>
      <c r="H25" s="145" t="s">
        <v>73</v>
      </c>
    </row>
    <row r="26" ht="49.9" customHeight="1" spans="2:8">
      <c r="B26" s="145" t="s">
        <v>74</v>
      </c>
      <c r="C26" s="145" t="s">
        <v>2</v>
      </c>
      <c r="D26" s="145" t="s">
        <v>75</v>
      </c>
      <c r="E26" s="145" t="s">
        <v>76</v>
      </c>
      <c r="F26" s="145" t="s">
        <v>20</v>
      </c>
      <c r="G26" s="145" t="s">
        <v>20</v>
      </c>
      <c r="H26" s="145" t="s">
        <v>77</v>
      </c>
    </row>
  </sheetData>
  <pageMargins left="0.37" right="0.47" top="0.5" bottom="0.38" header="0.5" footer="0.17"/>
  <pageSetup paperSize="9" orientation="landscape" horizontalDpi="96" verticalDpi="96"/>
  <headerFooter alignWithMargins="0">
    <oddFooter>&amp;L&amp;"Tahoma,Regular"&amp;8 02ae-BM/PM/HDCV/FSOFT v1/0&amp;R&amp;"Tahoma,Regular"&amp;10&amp;P/&amp;N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L55"/>
  <sheetViews>
    <sheetView workbookViewId="0">
      <selection activeCell="F16" sqref="F16"/>
    </sheetView>
  </sheetViews>
  <sheetFormatPr defaultColWidth="8.75" defaultRowHeight="13.2"/>
  <cols>
    <col min="1" max="1" width="15.6296296296296" customWidth="1"/>
    <col min="2" max="2" width="18.1296296296296" customWidth="1"/>
    <col min="3" max="3" width="42.1296296296296" customWidth="1"/>
    <col min="6" max="6" width="23.6296296296296" customWidth="1"/>
    <col min="7" max="7" width="18.5" hidden="1" customWidth="1"/>
    <col min="8" max="8" width="38" customWidth="1"/>
    <col min="9" max="9" width="17.1296296296296" customWidth="1"/>
    <col min="10" max="10" width="9" style="6"/>
    <col min="11" max="11" width="18" customWidth="1"/>
  </cols>
  <sheetData>
    <row r="1" s="113" customFormat="1" ht="12.75" customHeight="1" spans="1:12">
      <c r="A1" s="30" t="s">
        <v>0</v>
      </c>
      <c r="B1" s="31"/>
      <c r="C1" s="31"/>
      <c r="D1" s="31"/>
      <c r="E1" s="32"/>
      <c r="F1" s="32"/>
      <c r="G1" s="32"/>
      <c r="H1" s="32"/>
      <c r="I1" s="32"/>
      <c r="J1" s="33"/>
      <c r="K1" s="32"/>
      <c r="L1" s="34"/>
    </row>
    <row r="2" s="113" customFormat="1" ht="11.25" customHeight="1" spans="1:12">
      <c r="A2" s="34"/>
      <c r="B2" s="35"/>
      <c r="C2" s="35"/>
      <c r="D2" s="35"/>
      <c r="E2" s="32"/>
      <c r="F2" s="32"/>
      <c r="G2" s="32"/>
      <c r="H2" s="32"/>
      <c r="I2" s="32"/>
      <c r="J2" s="33"/>
      <c r="K2" s="32"/>
      <c r="L2" s="34"/>
    </row>
    <row r="3" s="114" customFormat="1" ht="15" customHeight="1" spans="1:12">
      <c r="A3" s="103" t="s">
        <v>78</v>
      </c>
      <c r="B3" s="37" t="s">
        <v>79</v>
      </c>
      <c r="C3" s="37"/>
      <c r="D3" s="38"/>
      <c r="E3" s="39"/>
      <c r="F3" s="39"/>
      <c r="G3" s="39"/>
      <c r="H3" s="39"/>
      <c r="I3" s="40"/>
      <c r="J3" s="40"/>
      <c r="K3" s="40"/>
      <c r="L3" s="119"/>
    </row>
    <row r="4" s="114" customFormat="1" spans="1:12">
      <c r="A4" s="41" t="s">
        <v>80</v>
      </c>
      <c r="B4" s="42" t="s">
        <v>81</v>
      </c>
      <c r="C4" s="43"/>
      <c r="D4" s="44"/>
      <c r="E4" s="39"/>
      <c r="F4" s="39"/>
      <c r="G4" s="39"/>
      <c r="H4" s="39"/>
      <c r="I4" s="40"/>
      <c r="J4" s="40"/>
      <c r="K4" s="40"/>
      <c r="L4" s="119"/>
    </row>
    <row r="5" s="115" customFormat="1" ht="26.4" spans="1:12">
      <c r="A5" s="41" t="s">
        <v>82</v>
      </c>
      <c r="B5" s="46" t="s">
        <v>83</v>
      </c>
      <c r="C5" s="47"/>
      <c r="D5" s="48"/>
      <c r="E5" s="49"/>
      <c r="F5" s="49"/>
      <c r="G5" s="49"/>
      <c r="H5" s="49"/>
      <c r="I5" s="50"/>
      <c r="J5" s="50"/>
      <c r="K5" s="50"/>
      <c r="L5" s="120"/>
    </row>
    <row r="6" s="114" customFormat="1" ht="15" customHeight="1" spans="1:12">
      <c r="A6" s="51" t="s">
        <v>84</v>
      </c>
      <c r="B6" s="52">
        <f>COUNTIF(J12:J17,"Pass")</f>
        <v>3</v>
      </c>
      <c r="C6" s="53" t="s">
        <v>85</v>
      </c>
      <c r="D6" s="54">
        <f>COUNTIF(J10:J736,"Pending")</f>
        <v>0</v>
      </c>
      <c r="E6" s="40"/>
      <c r="F6" s="40"/>
      <c r="G6" s="40"/>
      <c r="H6" s="40"/>
      <c r="I6" s="40"/>
      <c r="J6" s="40"/>
      <c r="K6" s="40"/>
      <c r="L6" s="119"/>
    </row>
    <row r="7" s="114" customFormat="1" ht="15" customHeight="1" spans="1:12">
      <c r="A7" s="55" t="s">
        <v>86</v>
      </c>
      <c r="B7" s="56">
        <f>COUNTIF(J12:J17,"Fail")</f>
        <v>0</v>
      </c>
      <c r="C7" s="57" t="s">
        <v>87</v>
      </c>
      <c r="D7" s="58">
        <f>COUNTA(A12:A17)-15</f>
        <v>-9</v>
      </c>
      <c r="E7" s="59"/>
      <c r="F7" s="59"/>
      <c r="G7" s="59"/>
      <c r="H7" s="59"/>
      <c r="I7" s="40"/>
      <c r="J7" s="40"/>
      <c r="K7" s="40"/>
      <c r="L7" s="119"/>
    </row>
    <row r="8" s="114" customFormat="1" ht="15" customHeight="1" spans="1:12">
      <c r="A8" s="60"/>
      <c r="B8" s="60"/>
      <c r="C8" s="60"/>
      <c r="D8" s="60"/>
      <c r="E8" s="40"/>
      <c r="F8" s="40"/>
      <c r="G8" s="40"/>
      <c r="H8" s="40"/>
      <c r="I8" s="40"/>
      <c r="J8" s="61"/>
      <c r="K8" s="61"/>
      <c r="L8" s="119"/>
    </row>
    <row r="9" s="116" customFormat="1" ht="12" customHeight="1" spans="1:12">
      <c r="A9" s="62" t="s">
        <v>88</v>
      </c>
      <c r="B9" s="63" t="s">
        <v>89</v>
      </c>
      <c r="C9" s="62" t="s">
        <v>90</v>
      </c>
      <c r="D9" s="64" t="s">
        <v>91</v>
      </c>
      <c r="E9" s="65"/>
      <c r="F9" s="65"/>
      <c r="G9" s="66"/>
      <c r="H9" s="67" t="s">
        <v>92</v>
      </c>
      <c r="I9" s="68" t="s">
        <v>93</v>
      </c>
      <c r="J9" s="68" t="s">
        <v>94</v>
      </c>
      <c r="K9" s="68" t="s">
        <v>95</v>
      </c>
      <c r="L9" s="121"/>
    </row>
    <row r="10" s="114" customFormat="1" ht="12" customHeight="1" spans="1:12">
      <c r="A10" s="69"/>
      <c r="B10" s="70"/>
      <c r="C10" s="69"/>
      <c r="D10" s="71"/>
      <c r="E10" s="72"/>
      <c r="F10" s="72"/>
      <c r="G10" s="73"/>
      <c r="H10" s="62"/>
      <c r="I10" s="62"/>
      <c r="J10" s="62"/>
      <c r="K10" s="62"/>
      <c r="L10" s="119"/>
    </row>
    <row r="11" s="117" customFormat="1" ht="15" spans="1:12">
      <c r="A11" s="74"/>
      <c r="B11" s="74"/>
      <c r="C11" s="74"/>
      <c r="D11" s="74"/>
      <c r="E11" s="74"/>
      <c r="F11" s="74"/>
      <c r="G11" s="74"/>
      <c r="H11" s="74"/>
      <c r="I11" s="74"/>
      <c r="J11" s="74"/>
      <c r="K11" s="75"/>
    </row>
    <row r="12" s="118" customFormat="1" spans="1:12">
      <c r="A12" s="76" t="s">
        <v>96</v>
      </c>
      <c r="B12" s="77"/>
      <c r="C12" s="77"/>
      <c r="D12" s="77"/>
      <c r="E12" s="77"/>
      <c r="F12" s="77"/>
      <c r="G12" s="77"/>
      <c r="H12" s="77"/>
      <c r="I12" s="77"/>
      <c r="J12" s="77"/>
      <c r="K12" s="78"/>
    </row>
    <row r="13" s="118" customFormat="1" ht="79.2" outlineLevel="1" spans="1:12">
      <c r="A13" s="79" t="s">
        <v>97</v>
      </c>
      <c r="B13" s="80" t="s">
        <v>98</v>
      </c>
      <c r="C13" s="81" t="s">
        <v>99</v>
      </c>
      <c r="D13" s="87" t="s">
        <v>100</v>
      </c>
      <c r="E13" s="85"/>
      <c r="F13" s="85"/>
      <c r="G13" s="88"/>
      <c r="H13" s="85"/>
      <c r="I13" s="86"/>
      <c r="J13" s="81" t="s">
        <v>84</v>
      </c>
      <c r="K13" s="81"/>
    </row>
    <row r="14" s="118" customFormat="1" outlineLevel="1" spans="1:12">
      <c r="A14" s="122" t="s">
        <v>101</v>
      </c>
      <c r="B14" s="123"/>
      <c r="C14" s="123"/>
      <c r="D14" s="77"/>
      <c r="E14" s="77"/>
      <c r="F14" s="77"/>
      <c r="G14" s="77"/>
      <c r="H14" s="77"/>
      <c r="I14" s="77"/>
      <c r="J14" s="77"/>
      <c r="K14" s="78"/>
    </row>
    <row r="15" s="118" customFormat="1" ht="63.75" customHeight="1" outlineLevel="1" spans="1:12">
      <c r="A15" s="79" t="s">
        <v>102</v>
      </c>
      <c r="B15" s="124" t="s">
        <v>103</v>
      </c>
      <c r="C15" s="92" t="s">
        <v>104</v>
      </c>
      <c r="D15" s="125" t="s">
        <v>105</v>
      </c>
      <c r="E15" s="85"/>
      <c r="F15" s="85"/>
      <c r="G15" s="88"/>
      <c r="H15" s="85"/>
      <c r="I15" s="87"/>
      <c r="J15" s="81" t="s">
        <v>84</v>
      </c>
      <c r="K15" s="81"/>
    </row>
    <row r="16" s="118" customFormat="1" outlineLevel="1" spans="1:12">
      <c r="A16" s="122" t="s">
        <v>106</v>
      </c>
      <c r="B16" s="123"/>
      <c r="C16" s="123"/>
      <c r="D16" s="77"/>
      <c r="E16" s="77"/>
      <c r="F16" s="77"/>
      <c r="G16" s="77"/>
      <c r="H16" s="77"/>
      <c r="I16" s="77"/>
      <c r="J16" s="77"/>
      <c r="K16" s="78"/>
    </row>
    <row r="17" s="118" customFormat="1" ht="63.75" customHeight="1" outlineLevel="1" spans="1:11">
      <c r="A17" s="79" t="s">
        <v>107</v>
      </c>
      <c r="B17" s="126" t="s">
        <v>103</v>
      </c>
      <c r="C17" s="81" t="s">
        <v>108</v>
      </c>
      <c r="D17" s="125" t="s">
        <v>109</v>
      </c>
      <c r="E17" s="127"/>
      <c r="F17" s="127"/>
      <c r="G17" s="88"/>
      <c r="H17" s="85"/>
      <c r="I17" s="87"/>
      <c r="J17" s="81" t="s">
        <v>84</v>
      </c>
      <c r="K17" s="81"/>
    </row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5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D13:F13"/>
    <mergeCell ref="A14:C14"/>
    <mergeCell ref="D15:F15"/>
    <mergeCell ref="A16:C16"/>
    <mergeCell ref="D17:F17"/>
    <mergeCell ref="A9:A10"/>
    <mergeCell ref="B9:B10"/>
    <mergeCell ref="C9:C10"/>
    <mergeCell ref="H9:H10"/>
    <mergeCell ref="I9:I10"/>
    <mergeCell ref="J9:J10"/>
    <mergeCell ref="K9:K10"/>
    <mergeCell ref="D9:G10"/>
    <mergeCell ref="B1:D2"/>
  </mergeCells>
  <pageMargins left="0.75" right="0.75" top="1" bottom="1" header="0.5" footer="0.5"/>
  <pageSetup paperSize="1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tabSelected="1" topLeftCell="A13" workbookViewId="0">
      <selection activeCell="E28" sqref="E28"/>
    </sheetView>
  </sheetViews>
  <sheetFormatPr defaultColWidth="8.88888888888889" defaultRowHeight="13.2"/>
  <cols>
    <col min="1" max="1" width="22.5555555555556" customWidth="1"/>
    <col min="2" max="2" width="18" customWidth="1"/>
    <col min="3" max="3" width="32.4444444444444" customWidth="1"/>
  </cols>
  <sheetData>
    <row r="1" spans="1:11">
      <c r="A1" s="30" t="s">
        <v>0</v>
      </c>
      <c r="B1" s="101" t="s">
        <v>110</v>
      </c>
      <c r="C1" s="101"/>
      <c r="D1" s="101"/>
      <c r="E1" s="32"/>
      <c r="F1" s="32"/>
      <c r="G1" s="32"/>
      <c r="H1" s="32"/>
      <c r="I1" s="32"/>
      <c r="J1" s="33"/>
      <c r="K1" s="32"/>
    </row>
    <row r="2" ht="13.95" spans="1:11">
      <c r="A2" s="34"/>
      <c r="B2" s="102"/>
      <c r="C2" s="102"/>
      <c r="D2" s="102"/>
      <c r="E2" s="32"/>
      <c r="F2" s="32"/>
      <c r="G2" s="32"/>
      <c r="H2" s="32"/>
      <c r="I2" s="32"/>
      <c r="J2" s="33"/>
      <c r="K2" s="32"/>
    </row>
    <row r="3" spans="1:11">
      <c r="A3" s="103" t="s">
        <v>78</v>
      </c>
      <c r="B3" s="37" t="s">
        <v>111</v>
      </c>
      <c r="C3" s="37"/>
      <c r="D3" s="38"/>
      <c r="E3" s="39"/>
      <c r="F3" s="39"/>
      <c r="G3" s="39"/>
      <c r="H3" s="39"/>
      <c r="I3" s="40"/>
      <c r="J3" s="40"/>
      <c r="K3" s="40"/>
    </row>
    <row r="4" spans="1:11">
      <c r="A4" s="41" t="s">
        <v>80</v>
      </c>
      <c r="B4" s="42" t="s">
        <v>112</v>
      </c>
      <c r="C4" s="43"/>
      <c r="D4" s="44"/>
      <c r="E4" s="39"/>
      <c r="F4" s="39"/>
      <c r="G4" s="39"/>
      <c r="H4" s="39"/>
      <c r="I4" s="40"/>
      <c r="J4" s="40"/>
      <c r="K4" s="40"/>
    </row>
    <row r="5" spans="1:11">
      <c r="A5" s="41" t="s">
        <v>82</v>
      </c>
      <c r="B5" s="46" t="s">
        <v>83</v>
      </c>
      <c r="C5" s="47"/>
      <c r="D5" s="48"/>
      <c r="E5" s="49"/>
      <c r="F5" s="49"/>
      <c r="G5" s="49"/>
      <c r="H5" s="49"/>
      <c r="I5" s="50"/>
      <c r="J5" s="50"/>
      <c r="K5" s="50"/>
    </row>
    <row r="6" spans="1:11">
      <c r="A6" s="51" t="s">
        <v>84</v>
      </c>
      <c r="B6" s="52">
        <v>0</v>
      </c>
      <c r="C6" s="53" t="s">
        <v>85</v>
      </c>
      <c r="D6" s="54">
        <v>5</v>
      </c>
      <c r="E6" s="40"/>
      <c r="F6" s="40"/>
      <c r="G6" s="40"/>
      <c r="H6" s="40"/>
      <c r="I6" s="40"/>
      <c r="J6" s="40"/>
      <c r="K6" s="40"/>
    </row>
    <row r="7" ht="13.95" spans="1:11">
      <c r="A7" s="55" t="s">
        <v>86</v>
      </c>
      <c r="B7" s="56">
        <v>0</v>
      </c>
      <c r="C7" s="57" t="s">
        <v>87</v>
      </c>
      <c r="D7" s="58">
        <v>10</v>
      </c>
      <c r="E7" s="59"/>
      <c r="F7" s="59"/>
      <c r="G7" s="59"/>
      <c r="H7" s="59"/>
      <c r="I7" s="40"/>
      <c r="J7" s="40"/>
      <c r="K7" s="40"/>
    </row>
    <row r="8" spans="1:11">
      <c r="A8" s="60"/>
      <c r="B8" s="60"/>
      <c r="C8" s="60"/>
      <c r="D8" s="60"/>
      <c r="E8" s="40"/>
      <c r="F8" s="40"/>
      <c r="G8" s="40"/>
      <c r="H8" s="40"/>
      <c r="I8" s="40"/>
      <c r="J8" s="61"/>
      <c r="K8" s="61"/>
    </row>
    <row r="9" spans="1:11">
      <c r="A9" s="62" t="s">
        <v>88</v>
      </c>
      <c r="B9" s="63" t="s">
        <v>89</v>
      </c>
      <c r="C9" s="62" t="s">
        <v>90</v>
      </c>
      <c r="D9" s="64" t="s">
        <v>91</v>
      </c>
      <c r="E9" s="65"/>
      <c r="F9" s="65"/>
      <c r="G9" s="66"/>
      <c r="H9" s="67" t="s">
        <v>92</v>
      </c>
      <c r="I9" s="68" t="s">
        <v>93</v>
      </c>
      <c r="J9" s="68" t="s">
        <v>94</v>
      </c>
      <c r="K9" s="68" t="s">
        <v>95</v>
      </c>
    </row>
    <row r="10" spans="1:11">
      <c r="A10" s="69"/>
      <c r="B10" s="70"/>
      <c r="C10" s="69"/>
      <c r="D10" s="71"/>
      <c r="E10" s="72"/>
      <c r="F10" s="72"/>
      <c r="G10" s="73"/>
      <c r="H10" s="62"/>
      <c r="I10" s="62"/>
      <c r="J10" s="62"/>
      <c r="K10" s="62"/>
    </row>
    <row r="11" ht="15" spans="1:11">
      <c r="A11" s="74"/>
      <c r="B11" s="74"/>
      <c r="C11" s="74"/>
      <c r="D11" s="74"/>
      <c r="E11" s="74"/>
      <c r="F11" s="74"/>
      <c r="G11" s="74"/>
      <c r="H11" s="74"/>
      <c r="I11" s="74"/>
      <c r="J11" s="74"/>
      <c r="K11" s="75"/>
    </row>
    <row r="12" spans="1:11">
      <c r="A12" s="76" t="s">
        <v>113</v>
      </c>
      <c r="B12" s="77"/>
      <c r="C12" s="77"/>
      <c r="D12" s="77"/>
      <c r="E12" s="77"/>
      <c r="F12" s="77"/>
      <c r="G12" s="77"/>
      <c r="H12" s="77"/>
      <c r="I12" s="77"/>
      <c r="J12" s="77"/>
      <c r="K12" s="78"/>
    </row>
    <row r="13" ht="79.2" spans="1:11">
      <c r="A13" s="79" t="s">
        <v>97</v>
      </c>
      <c r="B13" s="81" t="s">
        <v>114</v>
      </c>
      <c r="C13" s="81" t="s">
        <v>115</v>
      </c>
      <c r="D13" s="104" t="s">
        <v>116</v>
      </c>
      <c r="E13" s="85"/>
      <c r="F13" s="85"/>
      <c r="G13" s="88"/>
      <c r="H13" s="85"/>
      <c r="I13" s="86"/>
      <c r="J13" s="81" t="s">
        <v>85</v>
      </c>
      <c r="K13" s="81"/>
    </row>
    <row r="14" spans="1:11">
      <c r="A14" s="76" t="s">
        <v>117</v>
      </c>
      <c r="B14" s="77"/>
      <c r="C14" s="77"/>
      <c r="D14" s="77"/>
      <c r="E14" s="77"/>
      <c r="F14" s="77"/>
      <c r="G14" s="77"/>
      <c r="H14" s="77"/>
      <c r="I14" s="77"/>
      <c r="J14" s="77"/>
      <c r="K14" s="78"/>
    </row>
    <row r="15" ht="79.2" spans="1:11">
      <c r="A15" s="105" t="s">
        <v>102</v>
      </c>
      <c r="B15" s="105" t="s">
        <v>118</v>
      </c>
      <c r="C15" s="105" t="s">
        <v>119</v>
      </c>
      <c r="D15" s="106" t="s">
        <v>120</v>
      </c>
      <c r="E15" s="107"/>
      <c r="F15" s="107"/>
      <c r="G15" s="108"/>
      <c r="H15" s="109"/>
      <c r="I15" s="109"/>
      <c r="J15" s="110" t="s">
        <v>85</v>
      </c>
      <c r="K15" s="109"/>
    </row>
    <row r="16" spans="1:11">
      <c r="A16" s="76" t="s">
        <v>121</v>
      </c>
      <c r="B16" s="77"/>
      <c r="C16" s="77"/>
      <c r="D16" s="77"/>
      <c r="E16" s="77"/>
      <c r="F16" s="77"/>
      <c r="G16" s="77"/>
      <c r="H16" s="77"/>
      <c r="I16" s="77"/>
      <c r="J16" s="77"/>
      <c r="K16" s="78"/>
    </row>
    <row r="17" ht="26.4" spans="1:11">
      <c r="A17" s="79" t="s">
        <v>107</v>
      </c>
      <c r="B17" s="92" t="s">
        <v>122</v>
      </c>
      <c r="C17" s="92" t="s">
        <v>123</v>
      </c>
      <c r="D17" s="104" t="s">
        <v>124</v>
      </c>
      <c r="E17" s="111"/>
      <c r="F17" s="111"/>
      <c r="G17" s="112"/>
      <c r="H17" s="85"/>
      <c r="I17" s="87"/>
      <c r="J17" s="81" t="s">
        <v>85</v>
      </c>
      <c r="K17" s="81"/>
    </row>
    <row r="18" spans="1:11">
      <c r="A18" s="76" t="s">
        <v>125</v>
      </c>
      <c r="B18" s="77"/>
      <c r="C18" s="77"/>
      <c r="D18" s="77"/>
      <c r="E18" s="77"/>
      <c r="F18" s="77"/>
      <c r="G18" s="77"/>
      <c r="H18" s="77"/>
      <c r="I18" s="77"/>
      <c r="J18" s="77"/>
      <c r="K18" s="78"/>
    </row>
    <row r="19" ht="39.6" spans="1:11">
      <c r="A19" s="79" t="s">
        <v>126</v>
      </c>
      <c r="B19" s="81" t="s">
        <v>127</v>
      </c>
      <c r="C19" s="81" t="s">
        <v>128</v>
      </c>
      <c r="D19" s="87" t="s">
        <v>129</v>
      </c>
      <c r="E19" s="85"/>
      <c r="F19" s="85"/>
      <c r="G19" s="88"/>
      <c r="H19" s="85"/>
      <c r="I19" s="87"/>
      <c r="J19" s="81" t="s">
        <v>85</v>
      </c>
      <c r="K19" s="81"/>
    </row>
    <row r="20" spans="1:11">
      <c r="A20" s="76" t="s">
        <v>130</v>
      </c>
      <c r="B20" s="77"/>
      <c r="C20" s="77"/>
      <c r="D20" s="77"/>
      <c r="E20" s="77"/>
      <c r="F20" s="77"/>
      <c r="G20" s="77"/>
      <c r="H20" s="77"/>
      <c r="I20" s="77"/>
      <c r="J20" s="77"/>
      <c r="K20" s="78"/>
    </row>
    <row r="21" ht="66" spans="1:11">
      <c r="A21" s="79" t="s">
        <v>131</v>
      </c>
      <c r="B21" s="81" t="s">
        <v>132</v>
      </c>
      <c r="C21" s="81" t="s">
        <v>133</v>
      </c>
      <c r="D21" s="87" t="s">
        <v>134</v>
      </c>
      <c r="E21" s="85"/>
      <c r="F21" s="85"/>
      <c r="G21" s="88"/>
      <c r="H21" s="85"/>
      <c r="I21" s="87"/>
      <c r="J21" s="81" t="s">
        <v>85</v>
      </c>
      <c r="K21" s="81"/>
    </row>
  </sheetData>
  <mergeCells count="28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D13:G13"/>
    <mergeCell ref="A14:K14"/>
    <mergeCell ref="D15:G15"/>
    <mergeCell ref="A16:C16"/>
    <mergeCell ref="D17:G17"/>
    <mergeCell ref="A18:C18"/>
    <mergeCell ref="D19:G19"/>
    <mergeCell ref="A20:C20"/>
    <mergeCell ref="D21:G21"/>
    <mergeCell ref="A9:A10"/>
    <mergeCell ref="B9:B10"/>
    <mergeCell ref="C9:C10"/>
    <mergeCell ref="H9:H10"/>
    <mergeCell ref="I9:I10"/>
    <mergeCell ref="J9:J10"/>
    <mergeCell ref="K9:K10"/>
    <mergeCell ref="D9:G1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4"/>
  <sheetViews>
    <sheetView topLeftCell="A13" workbookViewId="0">
      <selection activeCell="F6" sqref="F6"/>
    </sheetView>
  </sheetViews>
  <sheetFormatPr defaultColWidth="9" defaultRowHeight="13.2"/>
  <cols>
    <col min="1" max="1" width="18.25" customWidth="1"/>
    <col min="2" max="2" width="26.6296296296296" customWidth="1"/>
    <col min="3" max="3" width="33.5" customWidth="1"/>
    <col min="6" max="6" width="17.6296296296296" customWidth="1"/>
    <col min="7" max="7" width="0.87962962962963" customWidth="1"/>
  </cols>
  <sheetData>
    <row r="1" spans="1:11">
      <c r="A1" s="30" t="s">
        <v>0</v>
      </c>
      <c r="B1" s="31"/>
      <c r="C1" s="31"/>
      <c r="D1" s="31"/>
      <c r="E1" s="32"/>
      <c r="F1" s="32"/>
      <c r="G1" s="32"/>
      <c r="H1" s="32"/>
      <c r="I1" s="32"/>
      <c r="J1" s="33"/>
      <c r="K1" s="32"/>
    </row>
    <row r="2" ht="13.95" spans="1:11">
      <c r="A2" s="34"/>
      <c r="B2" s="35"/>
      <c r="C2" s="35"/>
      <c r="D2" s="35"/>
      <c r="E2" s="32"/>
      <c r="F2" s="32"/>
      <c r="G2" s="32"/>
      <c r="H2" s="32"/>
      <c r="I2" s="32"/>
      <c r="J2" s="33"/>
      <c r="K2" s="32"/>
    </row>
    <row r="3" spans="1:11">
      <c r="A3" s="36" t="s">
        <v>78</v>
      </c>
      <c r="B3" s="37" t="s">
        <v>135</v>
      </c>
      <c r="C3" s="37"/>
      <c r="D3" s="38"/>
      <c r="E3" s="39"/>
      <c r="F3" s="39"/>
      <c r="G3" s="39"/>
      <c r="H3" s="39"/>
      <c r="I3" s="40"/>
      <c r="J3" s="40"/>
      <c r="K3" s="40"/>
    </row>
    <row r="4" spans="1:11">
      <c r="A4" s="41" t="s">
        <v>80</v>
      </c>
      <c r="B4" s="42" t="s">
        <v>136</v>
      </c>
      <c r="C4" s="43"/>
      <c r="D4" s="44"/>
      <c r="E4" s="39"/>
      <c r="F4" s="39"/>
      <c r="G4" s="39"/>
      <c r="H4" s="39"/>
      <c r="I4" s="40"/>
      <c r="J4" s="40"/>
      <c r="K4" s="40"/>
    </row>
    <row r="5" spans="1:11">
      <c r="A5" s="45" t="s">
        <v>82</v>
      </c>
      <c r="B5" s="46" t="s">
        <v>83</v>
      </c>
      <c r="C5" s="47"/>
      <c r="D5" s="48"/>
      <c r="E5" s="49"/>
      <c r="F5" s="49"/>
      <c r="G5" s="49"/>
      <c r="H5" s="49"/>
      <c r="I5" s="50"/>
      <c r="J5" s="50"/>
      <c r="K5" s="50"/>
    </row>
    <row r="6" spans="1:11">
      <c r="A6" s="51" t="s">
        <v>84</v>
      </c>
      <c r="B6" s="52">
        <f>COUNTIF(J12:J23,"Pass")</f>
        <v>0</v>
      </c>
      <c r="C6" s="53" t="s">
        <v>85</v>
      </c>
      <c r="D6" s="54">
        <f>COUNTIF(J10:J741,"Pending")</f>
        <v>10</v>
      </c>
      <c r="E6" s="40"/>
      <c r="F6" s="40"/>
      <c r="G6" s="40"/>
      <c r="H6" s="40"/>
      <c r="I6" s="40"/>
      <c r="J6" s="40"/>
      <c r="K6" s="40"/>
    </row>
    <row r="7" ht="13.95" spans="1:11">
      <c r="A7" s="55" t="s">
        <v>86</v>
      </c>
      <c r="B7" s="56">
        <f>COUNTIF(J12:J23,"Fail")</f>
        <v>0</v>
      </c>
      <c r="C7" s="57" t="s">
        <v>87</v>
      </c>
      <c r="D7" s="58">
        <f>COUNTA(A12:A24)-3</f>
        <v>10</v>
      </c>
      <c r="E7" s="59"/>
      <c r="F7" s="59"/>
      <c r="G7" s="59"/>
      <c r="H7" s="59"/>
      <c r="I7" s="40"/>
      <c r="J7" s="40"/>
      <c r="K7" s="40"/>
    </row>
    <row r="8" spans="1:11">
      <c r="A8" s="60"/>
      <c r="B8" s="60"/>
      <c r="C8" s="60"/>
      <c r="D8" s="60"/>
      <c r="E8" s="40"/>
      <c r="F8" s="40"/>
      <c r="G8" s="40"/>
      <c r="H8" s="40"/>
      <c r="I8" s="40"/>
      <c r="J8" s="61"/>
      <c r="K8" s="61"/>
    </row>
    <row r="9" spans="1:11">
      <c r="A9" s="62" t="s">
        <v>88</v>
      </c>
      <c r="B9" s="63" t="s">
        <v>89</v>
      </c>
      <c r="C9" s="62" t="s">
        <v>90</v>
      </c>
      <c r="D9" s="64" t="s">
        <v>91</v>
      </c>
      <c r="E9" s="65"/>
      <c r="F9" s="65"/>
      <c r="G9" s="66"/>
      <c r="H9" s="67" t="s">
        <v>92</v>
      </c>
      <c r="I9" s="68" t="s">
        <v>93</v>
      </c>
      <c r="J9" s="68" t="s">
        <v>94</v>
      </c>
      <c r="K9" s="68" t="s">
        <v>95</v>
      </c>
    </row>
    <row r="10" spans="1:11">
      <c r="A10" s="69"/>
      <c r="B10" s="70"/>
      <c r="C10" s="69"/>
      <c r="D10" s="71"/>
      <c r="E10" s="72"/>
      <c r="F10" s="72"/>
      <c r="G10" s="73"/>
      <c r="H10" s="62"/>
      <c r="I10" s="62"/>
      <c r="J10" s="62"/>
      <c r="K10" s="62"/>
    </row>
    <row r="11" ht="15" spans="1:11">
      <c r="A11" s="74"/>
      <c r="B11" s="74"/>
      <c r="C11" s="74"/>
      <c r="D11" s="74"/>
      <c r="E11" s="74"/>
      <c r="F11" s="74"/>
      <c r="G11" s="74"/>
      <c r="H11" s="74"/>
      <c r="I11" s="74"/>
      <c r="J11" s="74"/>
      <c r="K11" s="75"/>
    </row>
    <row r="12" spans="1:11">
      <c r="A12" s="76" t="s">
        <v>137</v>
      </c>
      <c r="B12" s="77"/>
      <c r="C12" s="77"/>
      <c r="D12" s="77"/>
      <c r="E12" s="77"/>
      <c r="F12" s="77"/>
      <c r="G12" s="77"/>
      <c r="H12" s="77"/>
      <c r="I12" s="77"/>
      <c r="J12" s="77"/>
      <c r="K12" s="78"/>
    </row>
    <row r="13" ht="55.5" customHeight="1" spans="1:11">
      <c r="A13" s="79" t="s">
        <v>138</v>
      </c>
      <c r="B13" s="80" t="s">
        <v>139</v>
      </c>
      <c r="C13" s="81" t="s">
        <v>140</v>
      </c>
      <c r="D13" s="82" t="s">
        <v>141</v>
      </c>
      <c r="E13" s="83"/>
      <c r="F13" s="83"/>
      <c r="G13" s="84"/>
      <c r="H13" s="85"/>
      <c r="I13" s="86"/>
      <c r="J13" s="81" t="s">
        <v>85</v>
      </c>
      <c r="K13" s="81"/>
    </row>
    <row r="14" ht="54" customHeight="1" spans="1:11">
      <c r="A14" s="79" t="s">
        <v>142</v>
      </c>
      <c r="B14" s="80" t="s">
        <v>143</v>
      </c>
      <c r="C14" s="87" t="s">
        <v>144</v>
      </c>
      <c r="D14" s="87" t="s">
        <v>145</v>
      </c>
      <c r="E14" s="85"/>
      <c r="F14" s="85"/>
      <c r="G14" s="88"/>
      <c r="H14" s="88"/>
      <c r="I14" s="89"/>
      <c r="J14" s="81" t="s">
        <v>85</v>
      </c>
      <c r="K14" s="81"/>
    </row>
    <row r="15" spans="1:11">
      <c r="A15" s="76" t="s">
        <v>146</v>
      </c>
      <c r="B15" s="77"/>
      <c r="C15" s="77"/>
      <c r="D15" s="90"/>
      <c r="E15" s="90"/>
      <c r="F15" s="90"/>
      <c r="G15" s="90"/>
      <c r="H15" s="77"/>
      <c r="I15" s="77"/>
      <c r="J15" s="77"/>
      <c r="K15" s="78"/>
    </row>
    <row r="16" ht="77.25" customHeight="1" spans="1:11">
      <c r="A16" s="79" t="s">
        <v>147</v>
      </c>
      <c r="B16" s="81" t="s">
        <v>148</v>
      </c>
      <c r="C16" s="87" t="s">
        <v>149</v>
      </c>
      <c r="D16" s="87" t="s">
        <v>150</v>
      </c>
      <c r="E16" s="85"/>
      <c r="F16" s="85"/>
      <c r="G16" s="91"/>
      <c r="H16" s="88"/>
      <c r="I16" s="81"/>
      <c r="J16" s="81" t="s">
        <v>85</v>
      </c>
      <c r="K16" s="81"/>
    </row>
    <row r="17" ht="78" customHeight="1" spans="1:11">
      <c r="A17" s="79" t="s">
        <v>151</v>
      </c>
      <c r="B17" s="92" t="s">
        <v>152</v>
      </c>
      <c r="C17" s="92" t="s">
        <v>153</v>
      </c>
      <c r="D17" s="82" t="s">
        <v>150</v>
      </c>
      <c r="E17" s="83"/>
      <c r="F17" s="83"/>
      <c r="G17" s="84"/>
      <c r="H17" s="85"/>
      <c r="I17" s="87"/>
      <c r="J17" s="81" t="s">
        <v>85</v>
      </c>
      <c r="K17" s="81"/>
    </row>
    <row r="18" ht="79.5" customHeight="1" spans="1:11">
      <c r="A18" s="79" t="s">
        <v>154</v>
      </c>
      <c r="B18" s="81" t="s">
        <v>155</v>
      </c>
      <c r="C18" s="87" t="s">
        <v>156</v>
      </c>
      <c r="D18" s="87" t="s">
        <v>157</v>
      </c>
      <c r="E18" s="85"/>
      <c r="F18" s="85"/>
      <c r="G18" s="88"/>
      <c r="H18" s="88"/>
      <c r="I18" s="81"/>
      <c r="J18" s="81" t="s">
        <v>85</v>
      </c>
      <c r="K18" s="81"/>
    </row>
    <row r="19" ht="78.75" customHeight="1" spans="1:11">
      <c r="A19" s="79" t="s">
        <v>158</v>
      </c>
      <c r="B19" s="81" t="s">
        <v>159</v>
      </c>
      <c r="C19" s="87" t="s">
        <v>160</v>
      </c>
      <c r="D19" s="87" t="s">
        <v>157</v>
      </c>
      <c r="E19" s="85"/>
      <c r="F19" s="85"/>
      <c r="G19" s="88"/>
      <c r="H19" s="88"/>
      <c r="I19" s="81"/>
      <c r="J19" s="81" t="s">
        <v>85</v>
      </c>
      <c r="K19" s="81"/>
    </row>
    <row r="20" ht="78.75" customHeight="1" spans="1:11">
      <c r="A20" s="93" t="s">
        <v>161</v>
      </c>
      <c r="B20" s="94" t="s">
        <v>162</v>
      </c>
      <c r="C20" s="95" t="s">
        <v>163</v>
      </c>
      <c r="D20" s="96" t="s">
        <v>157</v>
      </c>
      <c r="E20" s="97"/>
      <c r="F20" s="97"/>
      <c r="G20" s="98"/>
      <c r="H20" s="99"/>
      <c r="I20" s="99"/>
      <c r="J20" s="99" t="s">
        <v>85</v>
      </c>
      <c r="K20" s="99"/>
    </row>
    <row r="21" spans="1:11">
      <c r="A21" s="76" t="s">
        <v>164</v>
      </c>
      <c r="B21" s="77"/>
      <c r="C21" s="77"/>
      <c r="D21" s="90"/>
      <c r="E21" s="90"/>
      <c r="F21" s="90"/>
      <c r="G21" s="90"/>
      <c r="H21" s="77"/>
      <c r="I21" s="77"/>
      <c r="J21" s="77"/>
      <c r="K21" s="78"/>
    </row>
    <row r="22" ht="66" customHeight="1" spans="1:11">
      <c r="A22" s="79" t="s">
        <v>165</v>
      </c>
      <c r="B22" s="92" t="s">
        <v>166</v>
      </c>
      <c r="C22" s="92" t="s">
        <v>167</v>
      </c>
      <c r="D22" s="87" t="s">
        <v>168</v>
      </c>
      <c r="E22" s="85"/>
      <c r="F22" s="85"/>
      <c r="G22" s="88"/>
      <c r="H22" s="85"/>
      <c r="I22" s="87"/>
      <c r="J22" s="81" t="s">
        <v>85</v>
      </c>
      <c r="K22" s="81"/>
    </row>
    <row r="23" ht="65.25" customHeight="1" spans="1:11">
      <c r="A23" s="100" t="s">
        <v>169</v>
      </c>
      <c r="B23" s="81" t="s">
        <v>170</v>
      </c>
      <c r="C23" s="81" t="s">
        <v>171</v>
      </c>
      <c r="D23" s="87" t="s">
        <v>172</v>
      </c>
      <c r="E23" s="85"/>
      <c r="F23" s="85"/>
      <c r="G23" s="88"/>
      <c r="H23" s="81"/>
      <c r="I23" s="81"/>
      <c r="J23" s="81" t="s">
        <v>85</v>
      </c>
      <c r="K23" s="81"/>
    </row>
    <row r="24" ht="67.5" customHeight="1" spans="1:11">
      <c r="A24" s="100" t="s">
        <v>173</v>
      </c>
      <c r="B24" s="81" t="s">
        <v>174</v>
      </c>
      <c r="C24" s="81" t="s">
        <v>175</v>
      </c>
      <c r="D24" s="87" t="s">
        <v>172</v>
      </c>
      <c r="E24" s="85"/>
      <c r="F24" s="85"/>
      <c r="G24" s="88"/>
      <c r="H24" s="81"/>
      <c r="I24" s="81"/>
      <c r="J24" s="81" t="s">
        <v>85</v>
      </c>
      <c r="K24" s="81"/>
    </row>
  </sheetData>
  <mergeCells count="32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D13:F13"/>
    <mergeCell ref="D14:F14"/>
    <mergeCell ref="A15:C15"/>
    <mergeCell ref="D16:F16"/>
    <mergeCell ref="D17:F17"/>
    <mergeCell ref="D18:F18"/>
    <mergeCell ref="D19:F19"/>
    <mergeCell ref="D20:F20"/>
    <mergeCell ref="A21:C21"/>
    <mergeCell ref="D22:F22"/>
    <mergeCell ref="D23:F23"/>
    <mergeCell ref="D24:F24"/>
    <mergeCell ref="A9:A10"/>
    <mergeCell ref="B9:B10"/>
    <mergeCell ref="C9:C10"/>
    <mergeCell ref="H9:H10"/>
    <mergeCell ref="I9:I10"/>
    <mergeCell ref="J9:J10"/>
    <mergeCell ref="K9:K10"/>
    <mergeCell ref="D9:G10"/>
    <mergeCell ref="B1:D2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selection activeCell="C4" sqref="C4"/>
    </sheetView>
  </sheetViews>
  <sheetFormatPr defaultColWidth="8.75" defaultRowHeight="13.2" outlineLevelCol="6"/>
  <cols>
    <col min="3" max="3" width="22.75" customWidth="1"/>
    <col min="7" max="7" width="18.75" customWidth="1"/>
  </cols>
  <sheetData>
    <row r="1" ht="22.2" spans="1:7">
      <c r="A1" s="2" t="s">
        <v>176</v>
      </c>
      <c r="B1" s="3"/>
      <c r="C1" s="4"/>
      <c r="D1" s="4"/>
      <c r="E1" s="4"/>
      <c r="F1" s="4"/>
      <c r="G1" s="5"/>
    </row>
    <row r="2" ht="14.25" customHeight="1" spans="1:7">
      <c r="A2" s="2"/>
      <c r="B2" s="3"/>
      <c r="C2" s="4"/>
      <c r="D2" s="4"/>
      <c r="E2" s="4"/>
      <c r="F2" s="4"/>
      <c r="G2" s="5"/>
    </row>
    <row r="3" spans="1:7">
      <c r="B3" s="6" t="s">
        <v>177</v>
      </c>
      <c r="C3" s="4"/>
      <c r="D3" s="4"/>
      <c r="E3" s="4"/>
      <c r="F3" s="4"/>
      <c r="G3" s="5"/>
    </row>
    <row r="4" spans="1:7">
      <c r="B4" s="6" t="s">
        <v>178</v>
      </c>
      <c r="C4" s="7"/>
      <c r="D4" s="6"/>
      <c r="E4" s="6"/>
      <c r="F4" s="6"/>
      <c r="G4" s="6"/>
    </row>
    <row r="5" spans="1:7">
      <c r="A5" s="6"/>
      <c r="B5" s="6"/>
      <c r="C5" s="6"/>
      <c r="D5" s="6"/>
      <c r="E5" s="6"/>
      <c r="F5" s="6"/>
      <c r="G5" s="6"/>
    </row>
    <row r="6" spans="1:7">
      <c r="A6" s="6"/>
      <c r="B6" s="6"/>
      <c r="C6" s="6"/>
      <c r="D6" s="6"/>
      <c r="E6" s="6"/>
      <c r="F6" s="6"/>
      <c r="G6" s="6"/>
    </row>
    <row r="7" ht="26.4" spans="1:7">
      <c r="A7" s="6"/>
      <c r="B7" s="8" t="s">
        <v>179</v>
      </c>
      <c r="C7" s="9" t="s">
        <v>180</v>
      </c>
      <c r="D7" s="10" t="s">
        <v>84</v>
      </c>
      <c r="E7" s="9" t="s">
        <v>86</v>
      </c>
      <c r="F7" s="9" t="s">
        <v>85</v>
      </c>
      <c r="G7" s="11" t="s">
        <v>181</v>
      </c>
    </row>
    <row r="8" s="1" customFormat="1" spans="1:7">
      <c r="A8" s="12"/>
      <c r="B8" s="13">
        <v>1</v>
      </c>
      <c r="C8" s="14" t="str">
        <f>Samples!B4</f>
        <v>CR100 - Export to excel</v>
      </c>
      <c r="D8" s="15">
        <f>Samples!B6</f>
        <v>3</v>
      </c>
      <c r="E8" s="14">
        <f>Samples!B7</f>
        <v>0</v>
      </c>
      <c r="F8" s="14">
        <f>Samples!D6</f>
        <v>0</v>
      </c>
      <c r="G8" s="15">
        <f>Samples!D7</f>
        <v>-9</v>
      </c>
    </row>
    <row r="9" spans="1:7">
      <c r="A9" s="6"/>
      <c r="B9" s="16"/>
      <c r="C9" s="17"/>
      <c r="D9" s="18"/>
      <c r="E9" s="19"/>
      <c r="F9" s="19"/>
      <c r="G9" s="20"/>
    </row>
    <row r="10" spans="1:7">
      <c r="A10" s="6"/>
      <c r="B10" s="21"/>
      <c r="C10" s="22" t="s">
        <v>182</v>
      </c>
      <c r="D10" s="23">
        <f>SUM(D6:D9)</f>
        <v>3</v>
      </c>
      <c r="E10" s="23">
        <f>SUM(E6:E9)</f>
        <v>0</v>
      </c>
      <c r="F10" s="23">
        <f>SUM(F6:F9)</f>
        <v>0</v>
      </c>
      <c r="G10" s="24">
        <f>SUM(G6:G9)</f>
        <v>-9</v>
      </c>
    </row>
    <row r="11" spans="1:7">
      <c r="A11" s="6"/>
      <c r="B11" s="25"/>
      <c r="C11" s="6"/>
      <c r="D11" s="26"/>
      <c r="E11" s="27"/>
      <c r="F11" s="27"/>
      <c r="G11" s="27"/>
    </row>
    <row r="12" spans="1:7">
      <c r="A12" s="6"/>
      <c r="B12" s="6"/>
      <c r="C12" s="6" t="s">
        <v>183</v>
      </c>
      <c r="D12" s="6"/>
      <c r="E12" s="28">
        <f>(D10+E10)*100/G10</f>
        <v>-33.3333333333333</v>
      </c>
      <c r="F12" s="6" t="s">
        <v>184</v>
      </c>
      <c r="G12" s="29"/>
    </row>
    <row r="13" spans="1:7">
      <c r="A13" s="6"/>
      <c r="B13" s="6"/>
      <c r="C13" s="6" t="s">
        <v>185</v>
      </c>
      <c r="D13" s="6"/>
      <c r="E13" s="28">
        <f>D10*100/G10</f>
        <v>-33.3333333333333</v>
      </c>
      <c r="F13" s="6" t="s">
        <v>184</v>
      </c>
      <c r="G13" s="29"/>
    </row>
  </sheetData>
  <pageMargins left="0.75" right="0.75" top="1" bottom="1" header="0.5" footer="0.5"/>
  <pageSetup paperSize="1" orientation="landscape"/>
  <headerFooter alignWithMargins="0">
    <oddFooter>&amp;L&amp;"Tahoma,Regular"&amp;8 02ae-BM/PM/HDCV/FSOFT v1/0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Cover</vt:lpstr>
      <vt:lpstr>Samples</vt:lpstr>
      <vt:lpstr>Booking</vt:lpstr>
      <vt:lpstr>Cancel Booking</vt:lpstr>
      <vt:lpstr>Test Report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Test Case</dc:subject>
  <dc:creator>Vadim V. Bobrenok</dc:creator>
  <dc:description>v1.2</dc:description>
  <cp:lastModifiedBy>ngoot</cp:lastModifiedBy>
  <dcterms:created xsi:type="dcterms:W3CDTF">2002-07-27T17:17:00Z</dcterms:created>
  <cp:lastPrinted>2006-08-02T10:15:00Z</cp:lastPrinted>
  <dcterms:modified xsi:type="dcterms:W3CDTF">2026-04-16T16:32:41Z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  <property fmtid="{D5CDD505-2E9C-101B-9397-08002B2CF9AE}" pid="3" name="ICV">
    <vt:lpwstr>20A95DD9B6FC487E8574604746F5BDCD_12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
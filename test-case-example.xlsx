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sports-field-booking-management\"/>
    </mc:Choice>
  </mc:AlternateContent>
  <bookViews>
    <workbookView xWindow="0" yWindow="0" windowWidth="22185" windowHeight="8550" tabRatio="821" activeTab="11"/>
  </bookViews>
  <sheets>
    <sheet name="Cover" sheetId="97" r:id="rId1"/>
    <sheet name="Booking" sheetId="124" r:id="rId2"/>
    <sheet name="Review" sheetId="133" r:id="rId3"/>
    <sheet name="Venue" sheetId="134" r:id="rId4"/>
    <sheet name="Cancel Booking" sheetId="123" r:id="rId5"/>
    <sheet name="Auth" sheetId="128" r:id="rId6"/>
    <sheet name="Admin" sheetId="130" r:id="rId7"/>
    <sheet name="Favorite" sheetId="126" r:id="rId8"/>
    <sheet name="Home" sheetId="129" r:id="rId9"/>
    <sheet name="Pay" sheetId="136" r:id="rId10"/>
    <sheet name="Samples" sheetId="122" r:id="rId11"/>
    <sheet name="Test Report" sheetId="107" r:id="rId12"/>
  </sheets>
  <externalReferences>
    <externalReference r:id="rId13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29" l="1"/>
  <c r="G9" i="107" s="1"/>
  <c r="D7" i="130"/>
  <c r="D7" i="128"/>
  <c r="D7" i="124"/>
  <c r="G11" i="107" s="1"/>
  <c r="D7" i="123"/>
  <c r="G12" i="107" s="1"/>
  <c r="G15" i="107"/>
  <c r="G14" i="107"/>
  <c r="G13" i="107"/>
  <c r="G8" i="107"/>
  <c r="D8" i="107"/>
  <c r="D9" i="107"/>
  <c r="D10" i="107"/>
  <c r="D11" i="107"/>
  <c r="D12" i="107"/>
  <c r="D13" i="107"/>
  <c r="D14" i="107"/>
  <c r="D15" i="107"/>
  <c r="E15" i="107"/>
  <c r="E14" i="107"/>
  <c r="E10" i="107"/>
  <c r="E9" i="107"/>
  <c r="E8" i="107"/>
  <c r="E13" i="107"/>
  <c r="E12" i="107"/>
  <c r="E11" i="107"/>
  <c r="F10" i="107"/>
  <c r="F11" i="107"/>
  <c r="F12" i="107"/>
  <c r="F13" i="107"/>
  <c r="F14" i="107"/>
  <c r="F15" i="107"/>
  <c r="F8" i="107"/>
  <c r="F9" i="107"/>
  <c r="E45" i="107"/>
  <c r="D45" i="107"/>
  <c r="D7" i="122"/>
  <c r="B7" i="122"/>
  <c r="D6" i="122"/>
  <c r="B6" i="122"/>
  <c r="B7" i="129"/>
  <c r="D6" i="129"/>
  <c r="B6" i="129"/>
  <c r="D7" i="126"/>
  <c r="G10" i="107" s="1"/>
  <c r="B7" i="126"/>
  <c r="D6" i="126"/>
  <c r="B6" i="126"/>
  <c r="B7" i="130"/>
  <c r="D6" i="130"/>
  <c r="B6" i="130"/>
  <c r="B7" i="128"/>
  <c r="D6" i="128"/>
  <c r="B6" i="128"/>
  <c r="B7" i="123"/>
  <c r="D6" i="123"/>
  <c r="B6" i="123"/>
  <c r="D16" i="107" l="1"/>
  <c r="F16" i="107"/>
  <c r="E16" i="107"/>
  <c r="G16" i="107"/>
  <c r="E19" i="107" s="1"/>
  <c r="E18" i="107" l="1"/>
</calcChain>
</file>

<file path=xl/sharedStrings.xml><?xml version="1.0" encoding="utf-8"?>
<sst xmlns="http://schemas.openxmlformats.org/spreadsheetml/2006/main" count="1009" uniqueCount="594">
  <si>
    <t>TEST CASE</t>
  </si>
  <si>
    <t>Version:</t>
  </si>
  <si>
    <t>Issue date:</t>
  </si>
  <si>
    <t>15/04/2026</t>
  </si>
  <si>
    <t>Project Name:</t>
  </si>
  <si>
    <t>Quản lý đặt sân thể thao</t>
  </si>
  <si>
    <t>Project Code:</t>
  </si>
  <si>
    <t>SPORT-BOOKING-01</t>
  </si>
  <si>
    <t>Record of change:</t>
  </si>
  <si>
    <t>Version</t>
  </si>
  <si>
    <t>Change location</t>
  </si>
  <si>
    <t>Change description</t>
  </si>
  <si>
    <t>Originator</t>
  </si>
  <si>
    <t>Reviewer/
Approver</t>
  </si>
  <si>
    <t>Reference</t>
  </si>
  <si>
    <t>1. 0</t>
  </si>
  <si>
    <t>Update testcase</t>
  </si>
  <si>
    <t>Chia modeul để thiết kế testcase</t>
  </si>
  <si>
    <t>Mỹ Xuyên</t>
  </si>
  <si>
    <t>Create file</t>
  </si>
  <si>
    <t>Sheet Booking</t>
  </si>
  <si>
    <t xml:space="preserve">tạo sheet booking và bắt đầu thiết kế </t>
  </si>
  <si>
    <t>Thúy Quyên</t>
  </si>
  <si>
    <t>CR100-Booking</t>
  </si>
  <si>
    <t>Sheet Cancel Booking</t>
  </si>
  <si>
    <t>tạo sheet cancel-booking và bắt đầu thiết kế</t>
  </si>
  <si>
    <t>Đại Long</t>
  </si>
  <si>
    <t>CR200-Cancel-Booking</t>
  </si>
  <si>
    <t>Sheet Auth</t>
  </si>
  <si>
    <t>tạo sheet Auth và bắt đầu thiết kế</t>
  </si>
  <si>
    <t>CR300-Auth</t>
  </si>
  <si>
    <t>Sheet Admin</t>
  </si>
  <si>
    <t>tạo sheet Admin bắt đầu thiết kế</t>
  </si>
  <si>
    <t>CR400-Admin</t>
  </si>
  <si>
    <t xml:space="preserve">thêm tc 3 - tc 5 </t>
  </si>
  <si>
    <t>thêm tc 5 - tc10</t>
  </si>
  <si>
    <t>19/4/2026</t>
  </si>
  <si>
    <t>Sheet Auth - Sheet Admin</t>
  </si>
  <si>
    <t>Thiết kế testcase cho đăng ký của model Auth và Thêm sân cho modul Admin</t>
  </si>
  <si>
    <t>CR300-Auth, CR400-Admin</t>
  </si>
  <si>
    <t>21/4/2026</t>
  </si>
  <si>
    <t>Sheet Cancel Booking - Sheet Favorite</t>
  </si>
  <si>
    <t>thêm tc 11 - tc 12 ở sheet cancel-booking, tạo sheet favorite và bắt đầu thiết kế</t>
  </si>
  <si>
    <t>CR200-Cancel-Booking, CR500-Favorite</t>
  </si>
  <si>
    <t>22/4/2026</t>
  </si>
  <si>
    <t xml:space="preserve">Thiết kkeestc cho đăng nhập , đăng nhập bằng gg , quyền admin, user </t>
  </si>
  <si>
    <t xml:space="preserve">Thiết kế testcase cho quản lý sân - xóa , sửa sân </t>
  </si>
  <si>
    <t>1.3</t>
  </si>
  <si>
    <t>Sheet Home</t>
  </si>
  <si>
    <t xml:space="preserve">thêm testcase chuyển tab ,  lọc , tìm kiếm , hiển thị trang chủ </t>
  </si>
  <si>
    <t>CR600-Home</t>
  </si>
  <si>
    <t>1.4</t>
  </si>
  <si>
    <t>Update api booking</t>
  </si>
  <si>
    <t>Sheet Review</t>
  </si>
  <si>
    <t>api gửi đánh giá, kiểm tra quyền đánh giá</t>
  </si>
  <si>
    <t>Sheet Venue</t>
  </si>
  <si>
    <t>kiểm tra hiển thị trang chi tiết</t>
  </si>
  <si>
    <t>1.5</t>
  </si>
  <si>
    <t>Sheet Pay</t>
  </si>
  <si>
    <t>Kiểm tra thông tin thanh toán, tổng tiền , quyền truy cập và quy trình tạo hóa đơn.</t>
  </si>
  <si>
    <t>BOOKING</t>
  </si>
  <si>
    <r>
      <rPr>
        <b/>
        <sz val="10"/>
        <rFont val="Tahoma"/>
        <charset val="134"/>
      </rPr>
      <t>System Name</t>
    </r>
    <r>
      <rPr>
        <b/>
        <sz val="10"/>
        <rFont val="ＭＳ Ｐゴシック"/>
        <charset val="128"/>
      </rPr>
      <t>：</t>
    </r>
  </si>
  <si>
    <t>QUẢN LÝ ĐẶT SÂN THỂ THAO</t>
  </si>
  <si>
    <r>
      <rPr>
        <b/>
        <sz val="10"/>
        <rFont val="Tahoma"/>
        <charset val="134"/>
      </rPr>
      <t>Module Code</t>
    </r>
    <r>
      <rPr>
        <b/>
        <sz val="10"/>
        <rFont val="MS Gothic"/>
        <charset val="134"/>
      </rPr>
      <t>：</t>
    </r>
  </si>
  <si>
    <t>CR100 - BOOKING</t>
  </si>
  <si>
    <t>Test requirement:</t>
  </si>
  <si>
    <t xml:space="preserve">CR1 - </t>
  </si>
  <si>
    <t>Pass</t>
  </si>
  <si>
    <t>Pending</t>
  </si>
  <si>
    <t>Fail</t>
  </si>
  <si>
    <t>Number of test cases:</t>
  </si>
  <si>
    <t>ID</t>
  </si>
  <si>
    <t>Test Case Description</t>
  </si>
  <si>
    <t>Test Case Procedure</t>
  </si>
  <si>
    <t>Expected Results</t>
  </si>
  <si>
    <t>Actual Results</t>
  </si>
  <si>
    <t>Test date</t>
  </si>
  <si>
    <t>Status</t>
  </si>
  <si>
    <t>Note</t>
  </si>
  <si>
    <t>1. Không cho phép đặt sân khi chưa đăng nhập</t>
  </si>
  <si>
    <t>TC1</t>
  </si>
  <si>
    <t>Truy cập ở trạng thái chưa đăng nhập  và nhấn vào "Đặt sân ngay"</t>
  </si>
  <si>
    <t>1: Truy cập trang khi chưa đăng nhập
2: Nhấn vào nút "Đặt lịch" tại sân muốn đặt để đi đến trang chi tiết sân
3: Chọn ngày và thời gian muốn đặt sân
4: Nhấn nút "Đặt sân ngay"</t>
  </si>
  <si>
    <r>
      <rPr>
        <sz val="10"/>
        <color rgb="FF000000"/>
        <rFont val="Tahoma"/>
        <charset val="134"/>
      </rPr>
      <t xml:space="preserve">Hệ thống thông báo </t>
    </r>
    <r>
      <rPr>
        <b/>
        <sz val="10"/>
        <color rgb="FF000000"/>
        <rFont val="Tahoma"/>
        <charset val="134"/>
      </rPr>
      <t>"Vui lòng đăng nhập để đặt sân!"</t>
    </r>
  </si>
  <si>
    <t>2. Đăng nhập tài khoản thành công và thực hiện đặt sân</t>
  </si>
  <si>
    <t>TC2</t>
  </si>
  <si>
    <t>Truy cập bằng tài khoản thành công và nhấn "Đặt sân ngay"</t>
  </si>
  <si>
    <t>1: Truy cập trang khi đã đăng nhập
2: Nhấn vào nút "Đặt lịch" tại sân muốn đặt để đi đến trang chi tiết sân
3: Chọn ngày và thời gian muốn đặt sân
4: Nhấn nút "Đặt sân ngay"</t>
  </si>
  <si>
    <r>
      <rPr>
        <sz val="10"/>
        <color rgb="FF000000"/>
        <rFont val="Tahoma"/>
        <charset val="134"/>
      </rPr>
      <t xml:space="preserve">Hệ thống thông báo </t>
    </r>
    <r>
      <rPr>
        <b/>
        <sz val="10"/>
        <color rgb="FF000000"/>
        <rFont val="Tahoma"/>
        <charset val="134"/>
      </rPr>
      <t>"Đặt sân thành công!"</t>
    </r>
    <r>
      <rPr>
        <sz val="10"/>
        <color rgb="FF000000"/>
        <rFont val="Tahoma"/>
        <charset val="134"/>
      </rPr>
      <t xml:space="preserve"> và chuyển sân đã đặt sang tab </t>
    </r>
    <r>
      <rPr>
        <b/>
        <sz val="10"/>
        <color rgb="FF000000"/>
        <rFont val="Tahoma"/>
        <charset val="134"/>
      </rPr>
      <t>"Sân đã đặt"</t>
    </r>
  </si>
  <si>
    <t>3. Không được đặt sân trong quá khứ</t>
  </si>
  <si>
    <t>TC3</t>
  </si>
  <si>
    <t>Chọn một ngày đã qua</t>
  </si>
  <si>
    <t>1: Chọn ngày đã qua trên lịch</t>
  </si>
  <si>
    <t>Nút ngày mờ đi không thể click vào</t>
  </si>
  <si>
    <t>4. Chọn ngày hiện tại nhưng không được chọn khung giờ đã trôi qua</t>
  </si>
  <si>
    <t>TC4</t>
  </si>
  <si>
    <t>Chọn ngày hiện tại và chọn thời gian đã qua</t>
  </si>
  <si>
    <t xml:space="preserve">1: Chọn ngày hiện tại
2: Chọn thời gian trong quá khứ
</t>
  </si>
  <si>
    <t>Nút thời gian mờ đi không thể chọn</t>
  </si>
  <si>
    <t>5. Một người chỉ được đặt tối đa 3 sân/ngày</t>
  </si>
  <si>
    <t>TC5</t>
  </si>
  <si>
    <t>Đặt từ 3 sân trở lại trong cùng 1 ngày thành công</t>
  </si>
  <si>
    <t>1: Đặt sân thứ nhất và thành công
2: Đặt sân thứ hai và thành công
3: Đặt sân thứ ba và thành công
4: Đặt sân thứ tư và nhận thông báo thất bại</t>
  </si>
  <si>
    <t>Cho phép người dùng đặt thành công 3 sân trong cùng 1 ngày, khi đặt tiếp thì nhận thông báo hệ thống "Bạn đã đạt giới hạn đặt sân trong ngày!"</t>
  </si>
  <si>
    <t>TC6</t>
  </si>
  <si>
    <t>Kiểm tra khôi phục lại lượt đặt sau khi hủy</t>
  </si>
  <si>
    <t>1: Đặt 3 sân thành công và hết lược đặt
2: Hủy đi 1 sân
3: Đặt lại sân mới trong cùng ngày
 và thành công</t>
  </si>
  <si>
    <t>Hệ thống cho phép đặt thành công sân mới vì tổng số sân "đang đặt" lúc này chỉ còn 2.</t>
  </si>
  <si>
    <t>6. Đặt khung giờ tối thiểu 1 giờ</t>
  </si>
  <si>
    <t>TC7</t>
  </si>
  <si>
    <t>Khung giờ tối thiểu &lt; 1 giờ</t>
  </si>
  <si>
    <t>1: Chọn giờ bắt đầu 17:00
2: Chọn giờ kết thúc 17:45 
3: Đặt sân</t>
  </si>
  <si>
    <t>Hệ thống báo lỗi: "Thời gian đặt tối thiểu phải là 1 giờ."</t>
  </si>
  <si>
    <t>TC8</t>
  </si>
  <si>
    <t>Khung giờ &gt;=1 giờ</t>
  </si>
  <si>
    <t>1: Chọn giờ bắt đầu 17:00
2: Chọn giờ kết thúc 18:00 
3: Đặt sân</t>
  </si>
  <si>
    <t>Hệ thống báo: "Đặt thành công 1 khung giờ."</t>
  </si>
  <si>
    <t>7. Không trùng khung giờ và sân</t>
  </si>
  <si>
    <t>TC9</t>
  </si>
  <si>
    <t>Đặt cùng sân cùng khung giờ</t>
  </si>
  <si>
    <t xml:space="preserve">1: User A đang thực hiện đặt sân 1 (khung 17h-18h).
2: User B cũng chọn đúng sân 1 và khung 17h-18h rồi nhấn đặt. 
</t>
  </si>
  <si>
    <t>Hệ thống chỉ cho phép người nhấn nút trước thành công, người sau phải nhận báo lỗi: "Sân đã có người đặt trong khung giờ này!".</t>
  </si>
  <si>
    <t>TC10</t>
  </si>
  <si>
    <t>Đặt cùng giờ nhưng sân khác</t>
  </si>
  <si>
    <t>1: Đặt sân 1 khung giờ 17:00-18:00
2: Đặt sân 2 cùng khung giờ sân 1</t>
  </si>
  <si>
    <t>Hệ thống cho phép đặt thành công.</t>
  </si>
  <si>
    <t>TC11</t>
  </si>
  <si>
    <t>Đặt sân trong khung giờ quá khứ</t>
  </si>
  <si>
    <t>1: Chọn ngày và khung giờ trong quá khứ</t>
  </si>
  <si>
    <t>Ngày và khung giờ trong quá khứ bị mờ đi không cho chọn</t>
  </si>
  <si>
    <t>API ĐẶT SÂN – POST /api/book</t>
  </si>
  <si>
    <t>Đặt sân thành công</t>
  </si>
  <si>
    <t>Điều kiện: Đăng nhập user_id=2. Sân id=1, slot "08:00 - 09:00" ngày mai còn trống.
1. POST /api/book
   Body: {"product_id":1,"slot":"08:00 - 09:00","date":"2026-04-18"}
2. Kiểm tra response
3. Kiểm tra DB</t>
  </si>
  <si>
    <t>HTTP 200. {"ok":true,"booking_id":X,"msg":"Đặt sân thành công! Mã đặt: #X"}
DB: Booking mới với user_id=2, product_id=1, status="confirmed", start_time=08:00, end_time=09:00.</t>
  </si>
  <si>
    <t>Đặt sân khi chưa đăng nhập</t>
  </si>
  <si>
    <t>Điều kiện: Không có session.
1. POST /api/book Body: {"product_id":1,"slot":"08:00 - 09:00","date":"2026-04-18"}</t>
  </si>
  <si>
    <t>HTTP 401. {"ok":false,"msg":"Vui lòng đăng nhập để đặt sân"}
Không tạo bản ghi.</t>
  </si>
  <si>
    <t>Đặt sân vào ngày hôm qua</t>
  </si>
  <si>
    <t>Điều kiện: Đăng nhập hợp lệ.
1. POST /api/book Body: {"product_id":1,"slot":"08:00 - 09:00","date":"2026-04-16"}</t>
  </si>
  <si>
    <t>HTTP 400. {"ok":false,"msg":"Không thể đặt sân trong quá khứ hoặc khung giờ đã qua."}</t>
  </si>
  <si>
    <t>Đặt slot đã qua trong ngày hôm nay</t>
  </si>
  <si>
    <t>Điều kiện: Đăng nhập. Thời điểm hiện tại: 14:00 ngày 17/04.
1. POST /api/book Body: {"product_id":1,"slot":"08:00 - 09:00","date":"2026-04-17"}</t>
  </si>
  <si>
    <t>HTTP 400. {"ok":false,"msg":"Không thể đặt sân trong quá khứ hoặc khung giờ đã qua."}
Cùng ngày nhưng giờ đã trôi qua vẫn bị từ chối.</t>
  </si>
  <si>
    <t>Đặt ngắn hơn 1 giờ (30 phút)</t>
  </si>
  <si>
    <t>Điều kiện: Đăng nhập hợp lệ.
1. POST /api/book Body: {"product_id":1,"slot":"08:00 - 08:30","date":"2026-04-18"}</t>
  </si>
  <si>
    <t>HTTP 400. {"ok":false,"msg":"Khung giờ đặt phải tối thiểu 1 giờ."}
Ràng buộc 3: duration_hours &lt; 1.</t>
  </si>
  <si>
    <t>Đặt đúng 1 giờ – được chấp nhận (boundary)</t>
  </si>
  <si>
    <t>Điều kiện: Đăng nhập, slot "10:00 - 11:00" còn trống.
1. POST /api/book Body: {"product_id":1,"slot":"10:00 - 11:00","date":"2026-04-18"}</t>
  </si>
  <si>
    <t>HTTP 200. {"ok":true,...} – đặt thành công.
Boundary: đúng 1 tiếng được chấp nhận.</t>
  </si>
  <si>
    <t>Đặt sân thứ 4 trong ngày – vượt giới hạn 3</t>
  </si>
  <si>
    <t>Điều kiện: User đã có 3 booking confirmed ngày 18/04/2026.
1. POST /api/book Body: {"product_id":4,"slot":"14:00 - 15:00","date":"2026-04-18"}</t>
  </si>
  <si>
    <t>HTTP 400. {"ok":false,"msg":"Bạn đã đặt tối đa 3 sân trong ngày này."}
Ràng buộc 4: bookings_today &gt;= 3.</t>
  </si>
  <si>
    <t>Booking cancelled không tính vào giới hạn 3/ngày</t>
  </si>
  <si>
    <t>Điều kiện: User có 2 confirmed + 1 cancelled ngày 18/04/2026.
1. POST /api/book Body: {"product_id":4,"slot":"14:00 - 15:00","date":"2026-04-18"}</t>
  </si>
  <si>
    <t>HTTP 200. {"ok":true,...}
Chỉ đếm status="confirmed", booking bị hủy không tính.</t>
  </si>
  <si>
    <t>Trùng khung giờ cùng sân</t>
  </si>
  <si>
    <t>Điều kiện: Sân id=1, slot "09:00 - 10:00" ngày 18/04 đã confirmed bởi User A.
1. Đăng nhập User B
2. POST /api/book Body: {"product_id":1,"slot":"09:00 - 10:00","date":"2026-04-18"}</t>
  </si>
  <si>
    <t>HTTP 400. {"ok":false,"msg":"Khung giờ này đã được đặt bởi người khác."}
Ràng buộc 5: conflict check.</t>
  </si>
  <si>
    <t>Cùng slot, khác sân</t>
  </si>
  <si>
    <t>Điều kiện: Sân id=1 slot "09:00 - 10:00" đã đặt; sân id=2 cùng slot chưa đặt.
1. POST /api/book Body: {"product_id":2,"slot":"09:00 - 10:00","date":"2026-04-18"}</t>
  </si>
  <si>
    <t>HTTP 200. {"ok":true,...}
Conflict check chỉ trong cùng product_id.</t>
  </si>
  <si>
    <t>TC12</t>
  </si>
  <si>
    <t>API /api/slots cập nhật booked=true sau khi đặt</t>
  </si>
  <si>
    <t>Điều kiện: Slot "08:00 - 09:00" chưa đặt.
1. Xác nhận booked=false: GET /api/slots/1?date=2026-04-18
2. Đặt slot thành công: POST /api/book
3. Gọi lại GET /api/slots/1?date=2026-04-18</t>
  </si>
  <si>
    <t>Slot "08:00 - 09:00" đổi thành booked=true.
Trường "available" giảm đi 1.
Hệ thống cập nhật real-time.</t>
  </si>
  <si>
    <t>REVIEW</t>
  </si>
  <si>
    <t>CR110 - REVIEW</t>
  </si>
  <si>
    <t>API GỬI ĐÁNH GIÁ – POST /api/review/&lt;product_id&gt;</t>
  </si>
  <si>
    <t>Đánh giá thành công – đã từng đặt sân</t>
  </si>
  <si>
    <t>Điều kiện: Đăng nhập. Đã có booking (bất kỳ status) cho sân id=1. Chưa review sân này.
1. POST /api/review/1
   Body: {"rating":5,"content":"Sân rất tốt, tiện ích đầy đủ!"}</t>
  </si>
  <si>
    <r>
      <rPr>
        <sz val="10"/>
        <color rgb="FF000000"/>
        <rFont val="Tahoma"/>
        <charset val="134"/>
      </rPr>
      <t>HTTP 200. {"ok":true,"author":"&lt;username&gt;","rating":5,"stars":"</t>
    </r>
    <r>
      <rPr>
        <sz val="10"/>
        <color rgb="FF000000"/>
        <rFont val="Times New Roman"/>
        <charset val="134"/>
      </rPr>
      <t>★★★★★</t>
    </r>
    <r>
      <rPr>
        <sz val="10"/>
        <color rgb="FF000000"/>
        <rFont val="Tahoma"/>
        <charset val="134"/>
      </rPr>
      <t>","content":"...","date_str":"Hôm nay"}
DB tạo bản ghi Review mới.</t>
    </r>
  </si>
  <si>
    <t>Đánh giá thất bại – chưa đặt sân</t>
  </si>
  <si>
    <t>Điều kiện: Đăng nhập. Không có booking nào cho sân id=2.
1. POST /api/review/2
   Body: {"rating":4,"content":"Test review"}</t>
  </si>
  <si>
    <t>HTTP 403. {"ok":false,"msg":"Chỉ những người đã đặt sân này mới được đánh giá."}
has_booked_product() = False.</t>
  </si>
  <si>
    <t>Đánh giá thất bại – đã review trước đó</t>
  </si>
  <si>
    <t>Điều kiện: User đã review sân id=1 rồi.
1. POST /api/review/1 lần thứ 2
   Body: {"rating":3,"content":"Review lần 2"}</t>
  </si>
  <si>
    <t>HTTP 403. {"ok":false,"msg":"Bạn đã đánh giá sân này rồi."}
has_reviewed_product() = True.</t>
  </si>
  <si>
    <t>Đánh giá khi chưa đăng nhập</t>
  </si>
  <si>
    <t>Điều kiện: Không có session.
1. POST /api/review/1
   Body: {"rating":5,"content":"Test"}</t>
  </si>
  <si>
    <t>HTTP 401. {"ok":false,"msg":"Vui lòng đăng nhập để đánh giá"}.</t>
  </si>
  <si>
    <t>Đánh giá với content rỗng</t>
  </si>
  <si>
    <t>Điều kiện: Đăng nhập, đã đặt sân id=1, chưa review.
1. POST /api/review/1
   Body: {"rating":5,"content":""}</t>
  </si>
  <si>
    <t>HTTP 400. {"ok":false,"msg":"Vui lòng nhập nội dung đánh giá"}.</t>
  </si>
  <si>
    <t>Rating vượt quá 5 → tự clamp về 5</t>
  </si>
  <si>
    <t>Điều kiện: Đăng nhập, đã đặt sân id=1, chưa review.
1. POST /api/review/1
   Body: {"rating":10,"content":"Over rating test"}</t>
  </si>
  <si>
    <t>HTTP 200. {"ok":true,...}
DB: review.rating = 5 (max(1,min(5,10))=5).
Không báo lỗi, tự giới hạn về 5.</t>
  </si>
  <si>
    <t>Rating âm → tự clamp về 1</t>
  </si>
  <si>
    <t>Điều kiện: Đăng nhập, đã đặt sân id=1, chưa review.
1. POST /api/review/1
   Body: {"rating":-3,"content":"Negative test"}</t>
  </si>
  <si>
    <t>HTTP 200. {"ok":true,...}
DB: review.rating = 1 (max(1,min(5,-3))=1).</t>
  </si>
  <si>
    <t>API KIỂM TRA QUYỀN REVIEW – GET /api/can-review/&lt;product_id&gt;</t>
  </si>
  <si>
    <t>Kiểm tra quyền – user chưa đặt sân</t>
  </si>
  <si>
    <t>Điều kiện: Đăng nhập. Chưa đặt sân id=1.
1. GET /api/can-review/1</t>
  </si>
  <si>
    <t>{"can_review":false,"has_reviewed":false,"has_booked":false,"reason":"not_booked"}</t>
  </si>
  <si>
    <t>Kiểm tra quyền – đã đặt, chưa review</t>
  </si>
  <si>
    <t>Điều kiện: Đăng nhập, có booking sân id=1, chưa review.
1. GET /api/can-review/1</t>
  </si>
  <si>
    <t>{"can_review":true,"has_reviewed":false,"has_booked":true,"reason":"ok"}</t>
  </si>
  <si>
    <t>Kiểm tra quyền – đã review rồi</t>
  </si>
  <si>
    <t>Điều kiện: Đăng nhập, đã review sân id=1.
1. GET /api/can-review/1</t>
  </si>
  <si>
    <t>{"can_review":false,"has_reviewed":true,"has_booked":true,"reason":"already_reviewed"}</t>
  </si>
  <si>
    <t>VENUE</t>
  </si>
  <si>
    <t>CR120 - Venue</t>
  </si>
  <si>
    <t>HIỂN THỊ TRANG CHI TIẾT – GET /venue/&lt;id&gt;</t>
  </si>
  <si>
    <t>Hiển thị đầy đủ thông tin sân</t>
  </si>
  <si>
    <t>Điều kiện: Sân id=1 có category, 3 amenities, 6 time_slots, 2 reviews.
1. Truy cập http://localhost:5000/venue/1
2. Quan sát toàn bộ nội dung trang</t>
  </si>
  <si>
    <t>HTTP 200.
Hiển thị: tên, giá, địa chỉ, SĐT, ảnh, mô tả.
3 tiện ích hiển thị đúng.
Khung giờ phân theo buổi.
Avg_rating và 2 reviews hiển thị đầy đủ.</t>
  </si>
  <si>
    <t>Sân không tồn tại → 404</t>
  </si>
  <si>
    <t>1. Truy cập http://localhost:5000/venue/9999</t>
  </si>
  <si>
    <t>HTTP 404 (first_or_404()).
Trang hiển thị lỗi Not Found, không crash server.</t>
  </si>
  <si>
    <t>User đã đặt sân – form review hiển thị</t>
  </si>
  <si>
    <t>Điều kiện: Đăng nhập user đã có booking sân id=1, chưa review.
1. Đăng nhập
2. Truy cập /venue/1
3. Cuộn xuống khu vực đánh giá</t>
  </si>
  <si>
    <t>Form viết đánh giá hiển thị (ô nhập + chọn sao).
can_review=True, has_reviewed=False.</t>
  </si>
  <si>
    <t>User đã review – form review ẩn</t>
  </si>
  <si>
    <t>Điều kiện: Đăng nhập user đã review sân id=1.
1. Đăng nhập
2. Truy cập /venue/1
3. Cuộn xuống khu vực đánh giá</t>
  </si>
  <si>
    <t>Form viết đánh giá bị ẩn.
Hiển thị thông báo: "Bạn đã đánh giá sân này".
has_reviewed=True.</t>
  </si>
  <si>
    <t>Chưa đăng nhập – không có nút review</t>
  </si>
  <si>
    <t>Điều kiện: Không có session.
1. Truy cập /venue/1
2. Xem khu vực đánh giá
3. Thử click nút review (nếu có)</t>
  </si>
  <si>
    <t>Nút/form đánh giá không hiển thị hoặc khi click → redirect sang /login.
can_review=False.</t>
  </si>
  <si>
    <t>Click logo quay về trang chủ</t>
  </si>
  <si>
    <t>Điều kiện: Đang ở /venue/1.
1. Click logo "Sport Field Booking" ở header</t>
  </si>
  <si>
    <t>Chuyển hướng về trang chủ http://localhost:5000/
Lưu ý: hiện tại link back trong venue_detail.html trỏ về /login thay vì / → cần kiểm tra bug này.</t>
  </si>
  <si>
    <t>CANCEL BOOKING</t>
  </si>
  <si>
    <t>CR200 - CANCEL BOOKING</t>
  </si>
  <si>
    <t>1. Chỉ người đặt mới được hủy</t>
  </si>
  <si>
    <t>Hủy sân sau khi đặt sân trong cùng một tài khoản</t>
  </si>
  <si>
    <t xml:space="preserve">1: Truy cập vào trang và đăng nhập tài khoản thành công.
2: Chuyển tab "Sân đã đặt" nhấn "HỦY SÂN" cần hủy.
</t>
  </si>
  <si>
    <t>Hệ thống tự động tải lại trang, tab "Sân đã đặt" không còn sân vừa hủy.</t>
  </si>
  <si>
    <t>Huỷ một booking không tồn tại.</t>
  </si>
  <si>
    <t xml:space="preserve">1: Truy cập vào trang và đăng nhập tài khoản thành công.
2: Gửi yêu cầu POST api/cancel-booking/99999
</t>
  </si>
  <si>
    <t>Flash thông báo: "Không tìm thấy hoặc bạn không có quyền!"</t>
  </si>
  <si>
    <t>Hủy sân của một user khác</t>
  </si>
  <si>
    <t>1: Truy cập vào trang và đăng nhập user A thành công.
2: Đặt lịch ở user A rồi đăng nhập vào user B.
3: Chuyển tab "Sân đã đặt" để kiểm tra.</t>
  </si>
  <si>
    <t>Không thấy sân đã đặt lịch ở user A</t>
  </si>
  <si>
    <t>2. Không hủy khi còn &lt;2 giờ trước giờ chơi</t>
  </si>
  <si>
    <t>Hủy một sân khi còn 2 giờ 1 phút trước giờ chơi</t>
  </si>
  <si>
    <t>Booking #1 có giờ bắt đầu là 14:00 hôm nay. Thời gian hiện tại là 11:59:
1: Truy cập vào trang và đăng nhập tài khoản thành công.
2: Chuyển sang tab "Sân đã đặt".
3: Nhấn "HỦY SÂN" ở booking #1.</t>
  </si>
  <si>
    <t>Hệ thống tự động tải lại trang, tab "Sân đã đặt" không còn booking #1.</t>
  </si>
  <si>
    <t>Huỷ một sân khi còn đúng 2 giờ trước giờ chơi</t>
  </si>
  <si>
    <t>Booking #1 có giờ bắt đầu là 14:00 hôm nay. Thời gian hiện tại là 12:00:
1: Truy cập vào trang và đăng nhập tài khoản thành công.
2: Chuyển sang tab "Sân đã đặt".
3: Nhấn "HỦY SÂN" ở booking #1.</t>
  </si>
  <si>
    <t>Hệ thống từ chối huỷ sân, hiển thị thông báo "Sân sắp đá, không được huỷ!"</t>
  </si>
  <si>
    <t>Huỷ một sân khi còn 1 giờ 59 phút trước giờ chơi</t>
  </si>
  <si>
    <t>Booking #1 có giờ bắt đầu là 14:00 hôm nay. Thời gian hiện tại là 12:01:
1: Truy cập vào trang và đăng nhập tài khoản thành công.
2: Chuyển sang tab "Sân đã đặt".
3: Nhấn "HỦY SÂN" ở booking #1.</t>
  </si>
  <si>
    <t>3. Không hủy khi đang chơi</t>
  </si>
  <si>
    <t>Hủy một sân đang trong thời gian sử dụng</t>
  </si>
  <si>
    <t>1: Truy cập vào trang và đăng nhập tài khoản thành công.
2: Chuyển sang tab "Sân đã đặt".
3: Nhấn "HỦY SÂN" ở booking đang trong thời gian sử dụng.</t>
  </si>
  <si>
    <t>Hệ thống có thông báo "Sân đang trong giờ sử dụng, bạn không thể hủy lúc này!"</t>
  </si>
  <si>
    <t>Hủy một sân ngay khi vừa thi đấu xong</t>
  </si>
  <si>
    <t>1: Truy cập vào trang và đăng nhập tài khoản thành công.
2: Chuyển sang tab "Sân đã đặt".
3:  Nhấn "HỦY SÂN" ở booking vừa mới thi đấu xong.</t>
  </si>
  <si>
    <t>Hệ thống có thông báo "Sân này đã thi đấu xong, không thể hủy!"</t>
  </si>
  <si>
    <t>Hủy một sân sau khi vừa thi đấu xong 15 phút.</t>
  </si>
  <si>
    <t>1: Truy cập vào trang và đăng nhập tài khoản thành công.
2: Chuyển sang tab "Sân đã đặt".
3:  Nhấn "HỦY SÂN" ở booking đã qua thời gian sử dụng 15 phút.</t>
  </si>
  <si>
    <t>4. Những trường hợp khác</t>
  </si>
  <si>
    <t>Sau khi huỷ, slot đó đó hiển thị là trống trở lại.</t>
  </si>
  <si>
    <t>1: Truy cập vào trang và đăng nhập tài khoản thành công.
2: Chuyển sang tab "Sân đã đặt".
3:  Nhấn "HỦY SÂN" ở một sân có status = confirmed trong bảng Booking trong database.
4: Kiểm tra lại trang chi tiết sân vừa huỷ.</t>
  </si>
  <si>
    <t>Khung thời gian trùng với khung thời gian của sân vừa huỷ không còn bị mờ đi nữa.</t>
  </si>
  <si>
    <t>Booking bị xoá hoàn toàn</t>
  </si>
  <si>
    <t>1: Truy cập vào trang và đăng nhập tài khoản thành công.
2: Chuyển sang tab "Sân đã đặt".
3:  Nhấn "HỦY SÂN" ở một sân có status = confirmed trong bảng Booking trong database.
4: Kiểm tra lại bảng Booking trong database.</t>
  </si>
  <si>
    <t>Sân vừa huỷ không còn trong bảng Booking nữa.</t>
  </si>
  <si>
    <t>Huỷ sân khi chưa đăng nhập</t>
  </si>
  <si>
    <t>1: Truy cập vào trang ở trạng thái chưa đăng nhập.
2: Chuyển sang tab "Sân đã đặt".</t>
  </si>
  <si>
    <t>Tab "Sân đã đặt" trống.</t>
  </si>
  <si>
    <t>CR300 - AUTH</t>
  </si>
  <si>
    <t xml:space="preserve">1.Đăng Ký Tài Khoản </t>
  </si>
  <si>
    <t>Đăng ký thành công – đủ thông tin hợp lệ</t>
  </si>
  <si>
    <t>Điều kiện: DB chưa có username="user_test01".
1. Truy cập http://localhost:5000/register
2. Nhập: username=user_test01, password=Test@1234, confirm=Test@1234, email=user01@gmail.com, phone=0912345678
3. Click "Tạo tài khoản"</t>
  </si>
  <si>
    <t>Chuyển hướng về trang chủ (HTTP 302 → /).
Flash: "Đăng ký thành công! Vui lòng đăng nhập."
DB tạo bản ghi User mới: auth_type="local", password là bcrypt hash.</t>
  </si>
  <si>
    <t>Đăng ký thất bại – username đã tồn tại</t>
  </si>
  <si>
    <t>Điều kiện: DB đã có username="admin".
1. Truy cập /register
2. Nhập username="admin", password=Test@1234, confirm=Test@1234
3. Submit</t>
  </si>
  <si>
    <t>HTTP 200 – render lại trang register.
Thông báo lỗi: "Tên đăng nhập đã tồn tại".
Không tạo bản ghi mới trong DB.</t>
  </si>
  <si>
    <t>Đăng ký thất bại – mật khẩu thiếu chữ HOA</t>
  </si>
  <si>
    <t>Điều kiện: username="newuser99" chưa tồn tại.
1. Truy cập /register
2. Nhập password="test@1234" (không có chữ hoa)
3. Submit</t>
  </si>
  <si>
    <t>Thông báo lỗi: "Mật khẩu cần có: ít nhất 1 chữ HOA".</t>
  </si>
  <si>
    <t>Đăng ký thất bại – mật khẩu &lt; 8 ký tự</t>
  </si>
  <si>
    <t>1. Truy cập /register
2. Nhập password="T@1" (3 ký tự), confirm="T@1"
3. Submit</t>
  </si>
  <si>
    <t>Thông báo lỗi: "Mật khẩu cần có: ít nhất 8 ký tự".</t>
  </si>
  <si>
    <t>Đăng ký thất bại – mật khẩu không có ký tự đặc biệt</t>
  </si>
  <si>
    <t>1. Truy cập /register
2. Nhập password="TestPass1" (không có ký tự đặc biệt)
3. Submit</t>
  </si>
  <si>
    <t>Thông báo lỗi: "Mật khẩu cần có: ít nhất 1 ký tự đặc biệt".</t>
  </si>
  <si>
    <t>Đăng ký thất bại – mật khẩu không có chữ số</t>
  </si>
  <si>
    <t>1. Truy cập /register
2. Nhập password="Test@Pass" (không có số)
3. Submit</t>
  </si>
  <si>
    <t>Thông báo lỗi: "Mật khẩu cần có: ít nhất 1 chữ số".</t>
  </si>
  <si>
    <t>Đăng ký thất bại – confirm password không khớp</t>
  </si>
  <si>
    <t>1. Truy cập /register
2. Nhập password="Test@1234", confirm="Test@9999"
3. Submit</t>
  </si>
  <si>
    <t>Thông báo lỗi: "Mật khẩu xác nhận không khớp".</t>
  </si>
  <si>
    <t>Đăng ký thất bại – email sai định dạng</t>
  </si>
  <si>
    <t>1. Truy cập /register
2. Nhập email="notanemail"
3. Submit</t>
  </si>
  <si>
    <t>Thông báo lỗi: "Email không hợp lệ".</t>
  </si>
  <si>
    <t>Đăng ký thất bại – email đã tồn tại trong DB</t>
  </si>
  <si>
    <t>Điều kiện: DB đã có email="exist@gmail.com".
1. Truy cập /register
2. Nhập email="exist@gmail.com"
3. Submit</t>
  </si>
  <si>
    <t>Thông báo lỗi: "Email này đã được sử dụng".</t>
  </si>
  <si>
    <t>Đăng ký thất bại – SĐT sai định dạng (9 số)</t>
  </si>
  <si>
    <t>1. Truy cập /register
2. Nhập phone="091234567" (9 số)
3. Submit</t>
  </si>
  <si>
    <t>Thông báo lỗi: "Số điện thoại không hợp lệ (cần 10 số, bắt đầu 0)".</t>
  </si>
  <si>
    <t>Đăng ký thất bại – SĐT bắt đầu bằng số 1</t>
  </si>
  <si>
    <t>1. Truy cập /register
2. Nhập phone="1912345678"
3. Submit</t>
  </si>
  <si>
    <t>Thông báo lỗi: "Số điện thoại không hợp lệ".
Regex kiểm tra: ^(0[3-9][0-9]{8})$</t>
  </si>
  <si>
    <t>Đăng ký thất bại – SĐT đã tồn tại</t>
  </si>
  <si>
    <t>Điều kiện: DB đã có phone="0912345678".
1. Truy cập /register
2. Nhập phone="0912345678"
3. Submit</t>
  </si>
  <si>
    <t>Thông báo lỗi: "Số điện thoại này đã được sử dụng".</t>
  </si>
  <si>
    <t>TC13</t>
  </si>
  <si>
    <t>Đăng ký thành công – bỏ trống email và phone (tuỳ chọn)</t>
  </si>
  <si>
    <t>Điều kiện: username="minimaluser" chưa tồn tại.
1. Truy cập /register
2. Chỉ nhập username + password + confirm, để trống email và phone
3. Submit</t>
  </si>
  <si>
    <t>Tạo user thành công.
DB: email=None, phone=None cho user mới.
Flash: "Đăng ký thành công!"</t>
  </si>
  <si>
    <t>TC14</t>
  </si>
  <si>
    <t>Đăng ký thất bại – username bỏ trống</t>
  </si>
  <si>
    <t>1. Truy cập /register
2. Để trống trường username
3. Nhập password hợp lệ
4. Submit</t>
  </si>
  <si>
    <t>Thông báo lỗi: "Vui lòng nhập tên đăng nhập".
Không tạo bản ghi mới.</t>
  </si>
  <si>
    <t>2.Đăng Nhập Tài Khoản</t>
  </si>
  <si>
    <t>TC15</t>
  </si>
  <si>
    <t>Đăng nhập thành công bằng username + password</t>
  </si>
  <si>
    <t>Điều kiện: User "testuser01" tồn tại, password hash của "Test@1234".
1. Truy cập /login → chọn tab "Tài khoản"
2. Nhập username=testuser01, password=Test@1234
3. Submit POST /login</t>
  </si>
  <si>
    <t>HTTP 302 → trang chủ.
Flash: "Đăng nhập thành công!"
Session được set: session["user_id"]=&lt;id&gt;, session["username"]="testuser01".</t>
  </si>
  <si>
    <t>TC16</t>
  </si>
  <si>
    <t>Đăng nhập thất bại – username không tồn tại</t>
  </si>
  <si>
    <t>1. Truy cập /login → tab "Tài khoản"
2. Nhập username="ghost_user", password=Test@1234
3. Submit</t>
  </si>
  <si>
    <t>Flash lỗi: "Tên đăng nhập hoặc mật khẩu không đúng!"
Không tạo session.</t>
  </si>
  <si>
    <t>TC17</t>
  </si>
  <si>
    <t>Đăng nhập thất bại – sai mật khẩu</t>
  </si>
  <si>
    <t>Điều kiện: User "testuser01" tồn tại.
1. Nhập đúng username, sai password="WrongPass!99"
2. Submit</t>
  </si>
  <si>
    <t>Flash lỗi: "Tên đăng nhập hoặc mật khẩu không đúng!"
check_password() trả về False.</t>
  </si>
  <si>
    <t>TC18</t>
  </si>
  <si>
    <t>Đăng nhập thành công bằng Email</t>
  </si>
  <si>
    <t>Điều kiện: User có email="user01@gmail.com", password="Test@1234".
1. Truy cập /login → tab "Email"
2. Nhập email + password
3. POST /login/email</t>
  </si>
  <si>
    <t>HTTP 302 → trang chủ.
Session được set đúng.</t>
  </si>
  <si>
    <t>TC19</t>
  </si>
  <si>
    <t>Đăng nhập email thất bại – email sai định dạng</t>
  </si>
  <si>
    <t>1. POST /login/email với email="notanemail", password=Test@1234</t>
  </si>
  <si>
    <t>Render login.html với error="Email không hợp lệ".</t>
  </si>
  <si>
    <t>TC20</t>
  </si>
  <si>
    <t>Đăng nhập thành công bằng SĐT</t>
  </si>
  <si>
    <t>Điều kiện: User có phone="0912345678", password="Test@1234".
1. Truy cập /login → tab "SĐT"
2. Nhập phone + password
3. POST /login/phone</t>
  </si>
  <si>
    <t>TC21</t>
  </si>
  <si>
    <t>Đăng nhập SĐT thất bại – SĐT sai định dạng</t>
  </si>
  <si>
    <t>1. POST /login/phone với phone="01234" (không đúng 10 số)</t>
  </si>
  <si>
    <t>Thông báo lỗi: "Số điện thoại không hợp lệ".</t>
  </si>
  <si>
    <t>TC22</t>
  </si>
  <si>
    <t>Đăng xuất thành công</t>
  </si>
  <si>
    <t>Điều kiện: User đang có session hợp lệ.
1. Truy cập GET /logout</t>
  </si>
  <si>
    <t>Session bị xóa hoàn toàn (session.clear()).
Flash: "Bạn đã đăng xuất!"
Chuyển hướng về trang chủ /.</t>
  </si>
  <si>
    <t>3.Login bằng Google</t>
  </si>
  <si>
    <t>TC23</t>
  </si>
  <si>
    <t>Google OAuth – user mới hoàn toàn</t>
  </si>
  <si>
    <t>Điều kiện: Google ClientID/Secret đã cấu hình. Email Google chưa có trong DB.
1. Click /auth/google
2. OAuth consent → chọn "newgoogle@gmail.com"
3. Callback /auth/google/callback với code hợp lệ</t>
  </si>
  <si>
    <t>Tạo User mới: username từ Google name, auth_type="google", google_id được set.
Session set. Flash chào mừng.</t>
  </si>
  <si>
    <t>TC24</t>
  </si>
  <si>
    <t>Google OAuth – email trùng user cũ → liên kết tài khoản</t>
  </si>
  <si>
    <t>Điều kiện: DB đã có user với email="exist@gmail.com", google_id=None.
1. OAuth → chọn "exist@gmail.com"
2. Callback</t>
  </si>
  <si>
    <t>Không tạo user mới.
Cập nhật google_id + google_email vào user cũ.
Đăng nhập thành công.</t>
  </si>
  <si>
    <t>4.Quyền Admin , User</t>
  </si>
  <si>
    <t>TC25</t>
  </si>
  <si>
    <t>Truy cập /admin khi không phải admin → bị chặn</t>
  </si>
  <si>
    <t>Điều kiện: User "regular_user" đăng nhập (không phải "admin").
1. Đăng nhập "regular_user"
2. Truy cập GET /admin</t>
  </si>
  <si>
    <t>Flash: "Bạn không có quyền truy cập!"
Chuyển hướng về /login.
MyAdminIndexView kiểm tra session["username"].lower() == "admin".</t>
  </si>
  <si>
    <t>TC26</t>
  </si>
  <si>
    <t>Truy cập /admin/product khi chưa đăng nhập</t>
  </si>
  <si>
    <t>Điều kiện: Không có session.
1. Không đăng nhập
2. Truy cập trực tiếp GET /admin/product</t>
  </si>
  <si>
    <t>Chuyển hướng về /login.
SecureModelView.is_accessible()=False → gọi inaccessible_callback().</t>
  </si>
  <si>
    <t>CR400 - ADMIN</t>
  </si>
  <si>
    <t>1. Dashboard admin - GET /admin</t>
  </si>
  <si>
    <t>Dashboard hiển thị đúng 4 thống kê</t>
  </si>
  <si>
    <t>Điều kiện: DB: 10 users, 5 categories, 20 products, 50 bookings (30 confirmed).
1. Đăng nhập admin
2. Truy cập GET /admin
3. Kiểm tra 4 stat-card</t>
  </si>
  <si>
    <t>Dashboard hiển thị:
- Khách hàng: 10
- Lượt đặt sân: 50
- Số lượng sân: 20
- Doanh thu dự kiến: tổng price của 30 booking confirmed.</t>
  </si>
  <si>
    <t>Dashboard – không có confirmed booking, revenue = 0</t>
  </si>
  <si>
    <t>Điều kiện: Tất cả booking đều bị cancelled.
1. Đăng nhập admin
2. GET /admin</t>
  </si>
  <si>
    <t>Stat-card "Doanh thu dự kiến" hiển thị: 0 VNĐ.
scalar() trả về None → code xử lý "or 0".</t>
  </si>
  <si>
    <t>Non-admin truy cập /admin – bị chặn</t>
  </si>
  <si>
    <t>Điều kiện: User "customer1" đăng nhập.
1. Đăng nhập customer1
2. Truy cập GET /admin</t>
  </si>
  <si>
    <t>Flash: "Bạn không có quyền truy cập!"
Chuyển hướng về /login.</t>
  </si>
  <si>
    <t>2.Quản lý sân - thêm sân</t>
  </si>
  <si>
    <t>Thêm sân mới thành công</t>
  </si>
  <si>
    <t>Điều kiện: Admin đăng nhập.
1. Truy cập /admin/product → Click "Create"
2. Điền: name="Sân Pickleball X1", price=180000, category_id=2, active=True
3. Click "Save"</t>
  </si>
  <si>
    <t>Sân xuất hiện trong danh sách admin.
DB tạo bản ghi Product mới.
Sân hiển thị trên trang chủ (active=True).</t>
  </si>
  <si>
    <t>Thêm sân thất bại – tên đã tồn tại</t>
  </si>
  <si>
    <t>Điều kiện: DB đã có name="Sân tennis A1".
1. Create product với name="Sân tennis A1"</t>
  </si>
  <si>
    <t>Lỗi UniqueViolation.
Flash thông báo lỗi.
Không tạo bản ghi mới.</t>
  </si>
  <si>
    <t>Thêm sân – category_id không tồn tại</t>
  </si>
  <si>
    <t>Điều kiện: category_id=9999 không có trong DB.
1. Create product với category_id=9999</t>
  </si>
  <si>
    <t>Lỗi ForeignKey.
Form báo lỗi.
Không tạo bản ghi</t>
  </si>
  <si>
    <t>3. Quản lý sân - xóa sân</t>
  </si>
  <si>
    <t>Xóa sân thành công – không có future booking</t>
  </si>
  <si>
    <t>Điều kiện: Sân id=5 không có booking nào date &gt;= now với status="confirmed".
1. /admin/product → Click "Delete" sân id=5
2. Confirm</t>
  </si>
  <si>
    <t>Sân bị xóa.
Cascade DELETE: bookings, favorites, reviews, amenities, time_slots liên quan cũng bị xóa.</t>
  </si>
  <si>
    <t>Xóa sân thất bại – có future booking confirmed</t>
  </si>
  <si>
    <t>Điều kiện: Sân id=3 có Booking(date=2026-04-20, status="confirmed").
1. /admin/product → Delete sân id=3</t>
  </si>
  <si>
    <t>Flash lỗi: "Sân này đang có lịch đặt vào ngày 20/04/2026."
Sân KHÔNG bị xóa.
Redirect về danh sách.</t>
  </si>
  <si>
    <t>Xóa sân thành công – chỉ có booking quá khứ</t>
  </si>
  <si>
    <t>Điều kiện: Sân id=4 chỉ có booking ngày 10/04/2026 (quá khứ).
1. Delete sân id=4</t>
  </si>
  <si>
    <t>Xóa thành công.
filter Booking.date &gt;= now không match booking cũ.</t>
  </si>
  <si>
    <t>Xóa sân – booking status=cancelled không chặn</t>
  </si>
  <si>
    <t>Điều kiện: Sân id=6 có booking ngày mai nhưng status="cancelled".
1. Delete sân id=6</t>
  </si>
  <si>
    <t>Xóa thành công.
Filter status="confirmed" không match booking cancelled.</t>
  </si>
  <si>
    <t>4. Quản lý sân - sửa sân</t>
  </si>
  <si>
    <t>Sửa giá sân</t>
  </si>
  <si>
    <t>Điều kiện: Sân id=2 có price=150000.
1. /admin/product → Edit sân id=2
2. Đổi price=200000 → Save</t>
  </si>
  <si>
    <t>DB: Product id=2 price=200000.
Trang chủ hiển thị giá mới.</t>
  </si>
  <si>
    <t>Deactivate sân (active=False)</t>
  </si>
  <si>
    <t>Điều kiện: Sân id=2 active=True.
1. Edit sân id=2 → bỏ check active → Save
2. Truy cập GET /</t>
  </si>
  <si>
    <t>Sân id=2 không còn hiển thị trên trang chủ.
Product.query.filter_by(active=True) không trả về sân này.</t>
  </si>
  <si>
    <t>Tìm kiếm sân trong admin</t>
  </si>
  <si>
    <t>Điều kiện: Admin tại /admin/product.
1. Nhập "tennis" vào search box
2. Submit</t>
  </si>
  <si>
    <t>Chỉ hiển thị sân có name chứa "tennis".
column_searchable_list=["name","price"].</t>
  </si>
  <si>
    <t>Sắp xếp sân theo giá</t>
  </si>
  <si>
    <t>Điều kiện: Admin tại /admin/product.
1. Click header cột "Giá"</t>
  </si>
  <si>
    <t>Lần 1: sắp xếp price ASC.
Lần 2: sắp xếp price DESC.
column_sortable_list=["id","name","price"].</t>
  </si>
  <si>
    <t>FAVORITE</t>
  </si>
  <si>
    <t>CR500 - Favorite</t>
  </si>
  <si>
    <t xml:space="preserve">1. Toggle Favorite - Thêm và xoá </t>
  </si>
  <si>
    <t>Gọi POST api/favorite/1 khi chưa nhấn yêu thích.</t>
  </si>
  <si>
    <t xml:space="preserve">1: Truy cập trang và đăng nhập thành công.
2: Nhấn yêu thích sân có product_id = 1.
3: Gửi POST api/favorite/1
4: Kiểm tra kết quả.
</t>
  </si>
  <si>
    <t>api trả về {added: false; ok: true}</t>
  </si>
  <si>
    <t>Gọi POST api/favorite/1 khi vừa nhấn yêu thích.</t>
  </si>
  <si>
    <t>api trả về {added: true; ok: true}</t>
  </si>
  <si>
    <t>2. Hiển thị và đồng bộ favorite</t>
  </si>
  <si>
    <t>Kiểm tra Tab "Yêu thích" khi nhấn "Yêu thích" 3 sản phẩm.</t>
  </si>
  <si>
    <t>1: Truy cập trang và đăng nhập thành công.
2: Nhấn trái tim màu xám ở phía góc trên bên phải của 3 sản phẩm bất kỳ.
3: Chuyển sang tab "Yêu thích".
4: Kiểm tra các sản phẩm trong tab "Yêu thích"</t>
  </si>
  <si>
    <t>Tab "Yêu thích" hiển thị đầy đủ thông tin tên sân, giá cả, trái tim trên góc phải của sản phẩm chuyển thành màu đỏ.</t>
  </si>
  <si>
    <t>Kiểm tra Tab "Yêu thích" khi chưa đăng nhập.</t>
  </si>
  <si>
    <t>1: Truy cập trang và đăng nhập thành công.
2: Chuyển sang tab "Yêu thích".</t>
  </si>
  <si>
    <t>Tab "Yêu thích" rỗng, có thông báo "Bạn chưa có sân nào trong danh sách yêu thích."</t>
  </si>
  <si>
    <t>Huỷ yêu thích một sản phẩm ở tab "Yêu thích".</t>
  </si>
  <si>
    <t>1: Truy cập trang và đăng nhập thành công.
2: Chuyển sang tab "Yêu thích".
3: Nhấn trái tim màu đỏ ở phía trên góc phải của sản phẩm để huỷ yêu thích.</t>
  </si>
  <si>
    <t>Sản phẩm đó biến mất ngay lập tức khỏi tab "Yêu thích".</t>
  </si>
  <si>
    <t>Kiểm tra sự đồng bộ giữa</t>
  </si>
  <si>
    <t>1: Truy cập trang và mở thêm 1 tab trình duyệt, đăng nhập thành công cùng 1 tài khoản.
2: Tab A để trang "Danh sách sân" và tab B để trang "Yêu thích.
3: Tại Tab A, nhấn vào trái tim xám trên góc phải của một sản phẩm..
4: Kiểm tra danh sách "Yêu thích" ở tab B.</t>
  </si>
  <si>
    <t>1. Sản phẩm vừa nhấn yêu thích chưa hiển thị bên tab B ngay lập tức.
2: Tải lại trang, tab B hiển thị sân vừa nhấn yêu thích với thông tin chính xác.</t>
  </si>
  <si>
    <t>3. Các trường hợp đặc biệt</t>
  </si>
  <si>
    <t>Yêu thích một sân khi chưa đăng nhập</t>
  </si>
  <si>
    <t>1: Truy cập trang ở trạng thái chưa đăng nhập.
2: Nhấn vào trái tim xám phía trên một sản phẩm.
3: Quan sát thông báo.</t>
  </si>
  <si>
    <t>Flash hiển thị thông báo "Bạn cần đăng nhập!".</t>
  </si>
  <si>
    <t>Yêu thích một sân không tồn tại trong cơ sở dữ liệu.</t>
  </si>
  <si>
    <t>1: Truy cập trang và đăng nhập thành công.
2: Gửi yêu cầu POST api/favorite/9999</t>
  </si>
  <si>
    <t>HTTP 404. Server không bị crash</t>
  </si>
  <si>
    <t>CR600 - HOME</t>
  </si>
  <si>
    <t xml:space="preserve"> 1.Hiển thị trang chủ - GET /</t>
  </si>
  <si>
    <t>Trang chủ hiển thị đúng danh sách sân active</t>
  </si>
  <si>
    <t>Điều kiện: DB có 5 sân: 4 active=True, 1 active=False.
1. Truy cập http://localhost:5000/
2. Quan sát section #venues</t>
  </si>
  <si>
    <t>Hiển thị đúng 4 sân (active=True).
Sân active=False không xuất hiện.
Product.query.filter_by(active=True) trả về 4 kết quả.</t>
  </si>
  <si>
    <t>Trang chủ khi đã đăng nhập – hiển thị bookings + favorites</t>
  </si>
  <si>
    <t>Điều kiện: User đăng nhập, có 2 booking, 1 favorite.
1. Đăng nhập → GET /
2. Kiểm tra tab "Sân đã đặt" và "Yêu thích"</t>
  </si>
  <si>
    <t>Tab "Sân đã đặt" có 2 booking.
Tab "Yêu thích" có 1 sân.
Icon tim đỏ đúng ở sân đã favorite.</t>
  </si>
  <si>
    <t>Trang chủ khi chưa đăng nhập – các tab rỗng</t>
  </si>
  <si>
    <t>Điều kiện: Không có session.
1. Không đăng nhập → GET /</t>
  </si>
  <si>
    <t>Tab "Sân đã đặt": hiện thông báo "Bạn chưa có sân nào trong danh sách sân đã đặt."
Tab "Yêu thích": hiện thông báo rỗng.
Icon tim là fa-regular (chưa yêu thích).</t>
  </si>
  <si>
    <t>2.Tìm kiếm sân</t>
  </si>
  <si>
    <t>Tìm kiếm theo tên sân – có kết quả</t>
  </si>
  <si>
    <t>Điều kiện: DB có sân "Sân tennis A1", "Sân bóng đá B2".
1. Nhập "tennis" vào ô tìm kiếm
2. Click "Tìm kiếm" hoặc nhấn Enter
3. Quan sát #venues</t>
  </si>
  <si>
    <t>Chỉ hiển thị card có tên chứa "tennis" (case-insensitive).
Card "Sân bóng đá B2" bị ẩn.</t>
  </si>
  <si>
    <t>Tìm kiếm không có kết quả</t>
  </si>
  <si>
    <t>1. Nhập "xyz999" vào ô tìm kiếm
2. Submit</t>
  </si>
  <si>
    <t>Không hiển thị card nào trong #venues.</t>
  </si>
  <si>
    <t>Tìm kiếm bỏ trống – hiển thị tất cả sân</t>
  </si>
  <si>
    <t>Điều kiện: DB có 4 sân active.
1. Xóa hết nội dung ô tìm kiếm → Submit</t>
  </si>
  <si>
    <t>Hiển thị lại toàn bộ 4 sân active.</t>
  </si>
  <si>
    <t>Tìm kiếm theo tiện ích (amenity label)</t>
  </si>
  <si>
    <t>Điều kiện: Sân A có amenity "Wifi", sân B không có.
1. Nhập "Wifi" vào ô tìm kiếm
2. Submit</t>
  </si>
  <si>
    <t>Chỉ hiện sân A (hidden-amenities div chứa "Wifi").
JS tìm trong cả .hidden-amenities.</t>
  </si>
  <si>
    <t>Autocomplete gợi ý khi gõ</t>
  </si>
  <si>
    <t>Điều kiện: DB có sân "Sân tennis A1".
1. Gõ từng ký tự "t", "e", "n" vào ô tìm kiếm</t>
  </si>
  <si>
    <t>Dropdown #suggestions xuất hiện với gợi ý "Sân tennis A1".</t>
  </si>
  <si>
    <t>3. Lọc sân</t>
  </si>
  <si>
    <t>Lọc theo loại sân – Sân tennis</t>
  </si>
  <si>
    <t>Điều kiện: DB có sân tennis và sân bóng đá.
1. Click nút lọc (filter icon)
2. Modal mở → check "Sân tennis"
3. Click "Áp dụng"</t>
  </si>
  <si>
    <t>Chỉ hiển thị sân có category.name chứa "tennis".</t>
  </si>
  <si>
    <t>Lọc theo khoảng giá – Dưới 200,000đ</t>
  </si>
  <si>
    <t>Điều kiện: Sân A: 150k; Sân B: 300k; Sân C: 500k.
1. Modal filter → Chọn radio "Dưới 200,000đ"
2. Áp dụng</t>
  </si>
  <si>
    <t>Chỉ hiện Sân A (150,000đ). Sân B và C bị ẩn.</t>
  </si>
  <si>
    <t>Lọc theo khoảng giá – 200,000 – 500,000đ</t>
  </si>
  <si>
    <t>Điều kiện: Sân A: 150k; Sân B: 300k; Sân C: 600k.
1. Modal → chọn radio "200,000 – 500,000đ"
2. Áp dụng</t>
  </si>
  <si>
    <t>Chỉ hiện Sân B (300,000đ).
Cần xác nhận: 200,000 và 500,000 có nằm trong range không?</t>
  </si>
  <si>
    <t>Lọc theo tiện ích – Wifi</t>
  </si>
  <si>
    <t>Điều kiện: Sân A có Wifi, Sân B không.
1. Modal → check "Wifi"
2. Áp dụng</t>
  </si>
  <si>
    <t>Chỉ hiện Sân A.</t>
  </si>
  <si>
    <t>Lọc kết hợp – Sân tennis + Dưới 200,000đ</t>
  </si>
  <si>
    <t>1. Modal → chọn "Sân tennis" + radio dưới 200k
2. Áp dụng</t>
  </si>
  <si>
    <t>Chỉ hiện sân tennis có giá dưới 200k (logic AND).</t>
  </si>
  <si>
    <t>Reset bộ lọc</t>
  </si>
  <si>
    <t>Điều kiện: Đang áp dụng filter.
1. Click "Xóa bộ lọc"</t>
  </si>
  <si>
    <t>Tất cả filter bị xóa, hiện lại toàn bộ sân.
resetFilters() được gọi.</t>
  </si>
  <si>
    <t>Lọc không có kết quả</t>
  </si>
  <si>
    <t>Điều kiện: DB không có sân pickleball.
1. Modal → check "Sân pickleball"
2. Áp dụng</t>
  </si>
  <si>
    <t>Không hiển thị card nào.</t>
  </si>
  <si>
    <t>4.Chuyển tab</t>
  </si>
  <si>
    <t>Chuyển tab "Sân đã đặt"</t>
  </si>
  <si>
    <t>Điều kiện: User đăng nhập.
1. Click tab "Sân đã đặt"</t>
  </si>
  <si>
    <t>Section #booked hiện ra (class active).
Section #venues, #favorites ẩn.</t>
  </si>
  <si>
    <t>Chuyển tab "Yêu thích"</t>
  </si>
  <si>
    <t>Điều kiện: User đăng nhập.
1. Click tab "Yêu thích"</t>
  </si>
  <si>
    <t>Section #favorites hiện ra.
Các tab khác ẩn.</t>
  </si>
  <si>
    <t>PAY</t>
  </si>
  <si>
    <t>CR700 - PAY</t>
  </si>
  <si>
    <t>1. Đăng nhập → GET /payment/&lt;id&gt;</t>
  </si>
  <si>
    <t>User đang session; booking thuộc user đó.</t>
  </si>
  <si>
    <t>1:Đăng nhập user
2:GET /payment/&lt;id&gt;
3:follow_redirects=True</t>
  </si>
  <si>
    <t>status_code == 200</t>
  </si>
  <si>
    <t>2. Người dùng chưa đăng nhập không được truy cập trang thanh toán.</t>
  </si>
  <si>
    <t>Không có session user_id.</t>
  </si>
  <si>
    <t>1: Gọi GET không session
2: follow_redirects=False</t>
  </si>
  <si>
    <t>status_code == 302 (chuyển về /login)</t>
  </si>
  <si>
    <t>3. User B không được xem trang thanh toán booking của User A.</t>
  </si>
  <si>
    <t>Booking thuộc user A, đăng nhập bằng user B.</t>
  </si>
  <si>
    <t>1: Đăng nhập user B
2: GET /payment/&lt;id của A&gt;
3: follow_redirects=False</t>
  </si>
  <si>
    <t>status_code == 302</t>
  </si>
  <si>
    <t>4. GET với booking_id không hợp lệ (99999) phải xử lý graceful.</t>
  </si>
  <si>
    <t>DB rỗng (không có booking 99999).</t>
  </si>
  <si>
    <t>1: Đăng nhập bất kỳ user
2: GET /payment/99999
3: follow_redirects=False</t>
  </si>
  <si>
    <t>status_code == 302 hoặc 404</t>
  </si>
  <si>
    <t>5. Booking đã thanh toán → hiển thị 'ĐÃ THANH TOÁN'</t>
  </si>
  <si>
    <t>Khi bill tồn tại, trang hiển thị trạng thái đã thanh toán.</t>
  </si>
  <si>
    <t>1: Tạo Bill cho booking
2: GET /payment/&lt;id&gt;
3: Kiểm tra nội dung trang</t>
  </si>
  <si>
    <t>Response chứa 'ĐÃ THANH TOÁN' hoặc mã hóa đơn</t>
  </si>
  <si>
    <t>6. Thanh toán trực tiếp → ok=True</t>
  </si>
  <si>
    <t>POST /api/payment với method='direct' phải trả 200 và ok=True.</t>
  </si>
  <si>
    <t>1: POST /api/payment với JSON
2: Parse response
3: Assert ok==True và bill_id tồn tại</t>
  </si>
  <si>
    <t>status 200, ok=True, bill_id là int</t>
  </si>
  <si>
    <t>7. Thanh toán online → ok=True</t>
  </si>
  <si>
    <t>POST /api/payment với method='online' phải thành công.</t>
  </si>
  <si>
    <t>1: POST với payment_method='online'
2: Assert ok==True</t>
  </si>
  <si>
    <t>ok=True, bill được tạo với payment_method='online'</t>
  </si>
  <si>
    <t>8. Bill xuất hiện trong DB sau thanh toán</t>
  </si>
  <si>
    <t>Sau khi gọi API thành công, Bill phải có trong DB.</t>
  </si>
  <si>
    <t>1: POST /api/payment
2: Query Bill.filter_by(booking_id=X)
3: Assert first() is not None</t>
  </si>
  <si>
    <t>Bill tồn tại trong DB</t>
  </si>
  <si>
    <t>9. Thanh toán 2 lần → 400</t>
  </si>
  <si>
    <t>Booking đã có bill → API từ chối, trả 400.</t>
  </si>
  <si>
    <t>1: Lần 1 đã thanh toán
2: POST lại /api/payment
3: Assert status 400, ok=False</t>
  </si>
  <si>
    <t>status 400, ok=False, msg chứa 'Đã thanh toán'</t>
  </si>
  <si>
    <t>10. Group booking: amount = price × số slot</t>
  </si>
  <si>
    <t>Booking thuộc group → tính tổng theo số lượng slot trong nhóm.</t>
  </si>
  <si>
    <t>1: POST /api/payment với booking_id trong group
2: Assert bill.amount == 300000*3</t>
  </si>
  <si>
    <t>bill.amount == 900000 (300000 × 3 slot)</t>
  </si>
  <si>
    <t>11. Group booking: thanh toán 2 lần → 400</t>
  </si>
  <si>
    <t>Bất kỳ booking nào trong nhóm đã có bill → từ chối thanh toán lại.</t>
  </si>
  <si>
    <t>1: Thanh toán group lần 1
2: POST lại với booking khác trong group
3: Assert 400</t>
  </si>
  <si>
    <t>Sample Project</t>
  </si>
  <si>
    <t>CR100 - Export to excel</t>
  </si>
  <si>
    <t>1. Check add role "CanExportAllCarrierChoises": This will be typically set for System users only</t>
  </si>
  <si>
    <t>Checking new role is added</t>
  </si>
  <si>
    <t xml:space="preserve">1: Go to the system TestProEngine with Classic or Current or Expert Mode
2: Go to maintenance 
3: Click Maintenance Users
4: Click Role Tab
</t>
  </si>
  <si>
    <r>
      <rPr>
        <sz val="10"/>
        <color indexed="8"/>
        <rFont val="Tahoma"/>
        <charset val="134"/>
      </rPr>
      <t>Role Tab is added a new role, it's name "</t>
    </r>
    <r>
      <rPr>
        <b/>
        <sz val="10"/>
        <color indexed="8"/>
        <rFont val="Tahoma"/>
        <charset val="134"/>
      </rPr>
      <t>CanExportAllCarrierChoices"</t>
    </r>
  </si>
  <si>
    <t>Check set Role CanExportAllCarrierChoices = True</t>
  </si>
  <si>
    <r>
      <rPr>
        <sz val="10"/>
        <color indexed="8"/>
        <rFont val="Tahoma"/>
        <charset val="134"/>
      </rPr>
      <t xml:space="preserve">Checking new function is added in </t>
    </r>
    <r>
      <rPr>
        <b/>
        <sz val="10"/>
        <color indexed="8"/>
        <rFont val="Tahoma"/>
        <charset val="134"/>
      </rPr>
      <t>Classic or Current Mode</t>
    </r>
  </si>
  <si>
    <t>1: Go to the system TestProEngine with Classic or Current  Mode that has to set role "CanExportAllCarrierChoices"
2: Submit for the quote 
3: Open the quote at the home
4: Go to Quick Links</t>
  </si>
  <si>
    <r>
      <rPr>
        <b/>
        <sz val="10"/>
        <color indexed="8"/>
        <rFont val="Tahoma"/>
        <charset val="134"/>
      </rPr>
      <t>See</t>
    </r>
    <r>
      <rPr>
        <sz val="10"/>
        <color indexed="8"/>
        <rFont val="Tahoma"/>
        <charset val="134"/>
      </rPr>
      <t xml:space="preserve"> a new selector: "</t>
    </r>
    <r>
      <rPr>
        <b/>
        <sz val="10"/>
        <color indexed="8"/>
        <rFont val="Tahoma"/>
        <charset val="134"/>
      </rPr>
      <t>Export all Carriers"</t>
    </r>
  </si>
  <si>
    <t>Check set Role CanExportAllCarrierChoices = False</t>
  </si>
  <si>
    <t>1: Go to the system TestProEngine with Classic or Current  Mode that has not to set role "CanExportAllCarrierChoices"
2: Submit for the quote 
3: Open the quote at the home
4: Go to Quick Links</t>
  </si>
  <si>
    <r>
      <rPr>
        <b/>
        <sz val="10"/>
        <color indexed="8"/>
        <rFont val="Tahoma"/>
        <charset val="134"/>
      </rPr>
      <t>Don't see</t>
    </r>
    <r>
      <rPr>
        <sz val="10"/>
        <color indexed="8"/>
        <rFont val="Tahoma"/>
        <charset val="134"/>
      </rPr>
      <t xml:space="preserve"> a new selector: "</t>
    </r>
    <r>
      <rPr>
        <b/>
        <sz val="10"/>
        <color indexed="8"/>
        <rFont val="Tahoma"/>
        <charset val="134"/>
      </rPr>
      <t>Export all Carriers"</t>
    </r>
  </si>
  <si>
    <t>TEST REPORT</t>
  </si>
  <si>
    <t>Note:</t>
  </si>
  <si>
    <t>Date</t>
  </si>
  <si>
    <t>No</t>
  </si>
  <si>
    <t>Module code</t>
  </si>
  <si>
    <t>Number of  test cases</t>
  </si>
  <si>
    <t>CR400-AUTH – Đăng ký &amp; Đăng nhập</t>
  </si>
  <si>
    <t>CR600-HOME – Trang chủ &amp; Tìm kiếm</t>
  </si>
  <si>
    <t>CR500-FAV – Yêu thích</t>
  </si>
  <si>
    <t>CR100-BOOKING – Đặt sân</t>
  </si>
  <si>
    <t>CR200-CANCEL – Hủy sân</t>
  </si>
  <si>
    <t>CR-REVIEW – Đánh giá</t>
  </si>
  <si>
    <t>CR400-ADMIN – Quản trị viên</t>
  </si>
  <si>
    <t>CR-VENUE – Chi tiết sân</t>
  </si>
  <si>
    <t>Sub total</t>
  </si>
  <si>
    <t>Test coverage</t>
  </si>
  <si>
    <t>%</t>
  </si>
  <si>
    <t>Test successful coverage</t>
  </si>
  <si>
    <t>PYTEST-COV COVERAGE</t>
  </si>
  <si>
    <t>pytest --cov=bookingapp --cov-report=term-missing</t>
  </si>
  <si>
    <t>Name</t>
  </si>
  <si>
    <t>Stmts</t>
  </si>
  <si>
    <t>Miss</t>
  </si>
  <si>
    <t>Cover</t>
  </si>
  <si>
    <t>Missing</t>
  </si>
  <si>
    <t>Related</t>
  </si>
  <si>
    <t>__init__.py</t>
  </si>
  <si>
    <t>None</t>
  </si>
  <si>
    <t>admin.py</t>
  </si>
  <si>
    <t>143-146</t>
  </si>
  <si>
    <t>admin (143 - 146)</t>
  </si>
  <si>
    <t>dao.py</t>
  </si>
  <si>
    <t>auth (11); booking (16); review (196); cancel (295 - 335)</t>
  </si>
  <si>
    <t>index.py</t>
  </si>
  <si>
    <t>models.py</t>
  </si>
  <si>
    <t>182, 191, 218-220</t>
  </si>
  <si>
    <t>review (182, 191)</t>
  </si>
  <si>
    <t>11, 16, 196, 295 - 335</t>
  </si>
  <si>
    <t>116, 126, 139, 143, 149-174, 188-189, 193, 199-224, 230-239, 246, 258, 271-272, 277, 380-382, 392, 477-488, 532, 586, 590-595, 649-657, 695, 750, 822, 881-882</t>
  </si>
  <si>
    <t>auth (116, 126, 139, 143, 149 - 174, 188-189, 193, 199-224, 230-239, 246, 258, 271-272, 277, 532, 586, 590-595); booking (380 - 382, 392); cancel (477 - 488); payment (649-657, 695); revenue_report (750)</t>
  </si>
  <si>
    <t>116, 126, 139, 143, 149-174, 188-189, 193, 199-224, 230-239, 244-284, 380-382, 392, 477-488, 532, 586, 590-595, 649-657, 687-695, 749, 821, 880-881</t>
  </si>
  <si>
    <t>auth (116 - 124, 230 - 284); booking (380 - 392); cancel (477 - 488); payment (649-657, 687-695); revenue_report (749, 821)</t>
  </si>
  <si>
    <t xml:space="preserve">11, 16, 196, 295 - 335  </t>
  </si>
  <si>
    <t>28/4/2026</t>
  </si>
  <si>
    <t>29/4/2026</t>
  </si>
  <si>
    <t>822, 881 - 882</t>
  </si>
  <si>
    <t>182, 218 - 220</t>
  </si>
  <si>
    <t>revenue_report (822)</t>
  </si>
  <si>
    <t>review (182)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</si>
</sst>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;@"/>
    <numFmt numFmtId="165" formatCode="0.000"/>
    <numFmt numFmtId="166" formatCode="dd/mm/yyyy;@"/>
  </numFmts>
  <fonts count="47">
    <font>
      <sz val="11"/>
      <name val="ＭＳ Ｐゴシック"/>
      <charset val="128"/>
    </font>
    <font>
      <b/>
      <sz val="18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b/>
      <sz val="18"/>
      <name val="Tahoma"/>
      <charset val="134"/>
    </font>
    <font>
      <sz val="10"/>
      <name val="Tahoma"/>
      <charset val="134"/>
    </font>
    <font>
      <b/>
      <sz val="12"/>
      <name val="Tahoma"/>
      <charset val="134"/>
    </font>
    <font>
      <b/>
      <sz val="10"/>
      <color indexed="9"/>
      <name val="Tahoma"/>
      <charset val="134"/>
    </font>
    <font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indexed="9"/>
      <name val="Tahoma"/>
      <charset val="134"/>
    </font>
    <font>
      <b/>
      <sz val="10"/>
      <color indexed="9"/>
      <name val="Tahoma"/>
      <charset val="134"/>
    </font>
    <font>
      <b/>
      <sz val="10"/>
      <color indexed="12"/>
      <name val="Tahoma"/>
      <charset val="134"/>
    </font>
    <font>
      <sz val="10"/>
      <color indexed="8"/>
      <name val="Tahoma"/>
      <charset val="134"/>
    </font>
    <font>
      <sz val="8"/>
      <color indexed="8"/>
      <name val="Tahoma"/>
      <charset val="134"/>
    </font>
    <font>
      <sz val="12"/>
      <color indexed="8"/>
      <name val="Tahoma"/>
      <charset val="134"/>
    </font>
    <font>
      <sz val="12"/>
      <name val="ＭＳ Ｐゴシック"/>
      <charset val="128"/>
    </font>
    <font>
      <b/>
      <sz val="12"/>
      <color indexed="9"/>
      <name val="Tahoma"/>
      <charset val="134"/>
    </font>
    <font>
      <b/>
      <sz val="10"/>
      <color indexed="8"/>
      <name val="Tahoma"/>
      <charset val="134"/>
    </font>
    <font>
      <sz val="10"/>
      <color indexed="10"/>
      <name val="Tahoma"/>
      <charset val="134"/>
    </font>
    <font>
      <sz val="10"/>
      <color rgb="FF000000"/>
      <name val="Tahoma"/>
      <charset val="134"/>
    </font>
    <font>
      <b/>
      <sz val="14"/>
      <color rgb="FF000000"/>
      <name val="Tahoma"/>
      <charset val="134"/>
    </font>
    <font>
      <b/>
      <sz val="10"/>
      <color rgb="FF1F2F6B"/>
      <name val="Arial"/>
      <charset val="134"/>
    </font>
    <font>
      <b/>
      <sz val="13"/>
      <color rgb="FF000000"/>
      <name val="Tahoma"/>
      <charset val="134"/>
    </font>
    <font>
      <b/>
      <sz val="14"/>
      <color indexed="8"/>
      <name val="Tahoma"/>
      <charset val="134"/>
    </font>
    <font>
      <b/>
      <sz val="13"/>
      <color indexed="8"/>
      <name val="Tahoma"/>
      <charset val="134"/>
    </font>
    <font>
      <sz val="14"/>
      <color rgb="FF000000"/>
      <name val="Arial"/>
      <charset val="134"/>
    </font>
    <font>
      <sz val="11"/>
      <color rgb="FFFF0000"/>
      <name val="ＭＳ Ｐゴシック"/>
      <charset val="134"/>
    </font>
    <font>
      <sz val="10"/>
      <color rgb="FF000000"/>
      <name val="Arial"/>
      <charset val="1"/>
    </font>
    <font>
      <sz val="11"/>
      <name val="Tahoma"/>
      <charset val="128"/>
    </font>
    <font>
      <b/>
      <sz val="10"/>
      <color rgb="FF000000"/>
      <name val="Tahoma"/>
      <charset val="134"/>
    </font>
    <font>
      <sz val="19"/>
      <name val="Tahoma"/>
      <charset val="134"/>
    </font>
    <font>
      <sz val="11"/>
      <name val="Tahoma"/>
      <charset val="134"/>
    </font>
    <font>
      <b/>
      <sz val="19"/>
      <name val="Tahoma"/>
      <charset val="134"/>
    </font>
    <font>
      <b/>
      <sz val="19"/>
      <color indexed="60"/>
      <name val="Tahoma"/>
      <charset val="134"/>
    </font>
    <font>
      <sz val="19"/>
      <name val="Arial"/>
      <charset val="134"/>
    </font>
    <font>
      <sz val="19"/>
      <color theme="1"/>
      <name val="Calibri"/>
      <charset val="134"/>
      <scheme val="minor"/>
    </font>
    <font>
      <b/>
      <sz val="19"/>
      <color indexed="60"/>
      <name val="Times New Roman"/>
      <charset val="134"/>
    </font>
    <font>
      <sz val="19"/>
      <name val="Times New Roman"/>
      <charset val="134"/>
    </font>
    <font>
      <b/>
      <sz val="19"/>
      <color indexed="9"/>
      <name val="Times New Roman"/>
      <charset val="134"/>
    </font>
    <font>
      <sz val="21"/>
      <name val="Times New Roman"/>
      <charset val="134"/>
    </font>
    <font>
      <sz val="11"/>
      <color theme="1"/>
      <name val="Calibri"/>
      <charset val="134"/>
      <scheme val="minor"/>
    </font>
    <font>
      <sz val="9"/>
      <name val="ＭＳ ゴシック"/>
      <charset val="128"/>
    </font>
    <font>
      <b/>
      <sz val="10"/>
      <name val="ＭＳ Ｐゴシック"/>
      <charset val="128"/>
    </font>
    <font>
      <b/>
      <sz val="10"/>
      <name val="MS Gothic"/>
      <charset val="134"/>
    </font>
    <font>
      <sz val="10"/>
      <color rgb="FF000000"/>
      <name val="Times New Roman"/>
      <charset val="134"/>
    </font>
    <font>
      <sz val="11"/>
      <name val="ＭＳ Ｐゴシック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FF"/>
        <bgColor rgb="FFF4F4F4"/>
      </patternFill>
    </fill>
    <fill>
      <patternFill patternType="solid">
        <fgColor theme="3" tint="0.79995117038483843"/>
        <bgColor rgb="FFF4F4F4"/>
      </patternFill>
    </fill>
    <fill>
      <patternFill patternType="solid">
        <fgColor rgb="FFF2F2F2"/>
        <bgColor rgb="FFF4F4F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rgb="FFF4F4F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theme="0" tint="-0.249977111117893"/>
      </right>
      <top style="thin">
        <color rgb="FFAAAAAA"/>
      </top>
      <bottom style="thin">
        <color rgb="FFAAAAAA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rgb="FFAAAAAA"/>
      </top>
      <bottom style="thin">
        <color rgb="FFAAAAAA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theme="0" tint="-0.249977111117893"/>
      </left>
      <right/>
      <top style="thin">
        <color rgb="FFAAAAAA"/>
      </top>
      <bottom style="thin">
        <color rgb="FFAAAAAA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dotted">
        <color theme="0" tint="-0.249977111117893"/>
      </right>
      <top style="thin">
        <color rgb="FFAAAAAA"/>
      </top>
      <bottom style="thin">
        <color auto="1"/>
      </bottom>
      <diagonal/>
    </border>
    <border>
      <left style="dotted">
        <color theme="0" tint="-0.249977111117893"/>
      </left>
      <right/>
      <top style="thin">
        <color theme="0" tint="-0.1499679555650502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hair">
        <color auto="1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AAAAAA"/>
      </left>
      <right style="thin">
        <color theme="0" tint="-0.249977111117893"/>
      </right>
      <top/>
      <bottom style="thin">
        <color rgb="FFAAAAAA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rgb="FFAAAAAA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rgb="FFAAAAAA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/>
      <diagonal/>
    </border>
    <border>
      <left style="thin">
        <color theme="0" tint="-0.249977111117893"/>
      </left>
      <right style="thin">
        <color auto="1"/>
      </right>
      <top/>
      <bottom/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rgb="FFAAAAAA"/>
      </top>
      <bottom style="thin">
        <color indexed="64"/>
      </bottom>
      <diagonal/>
    </border>
    <border>
      <left style="thin">
        <color theme="0" tint="-0.249977111117893"/>
      </left>
      <right style="thin">
        <color rgb="FFAAAAAA"/>
      </right>
      <top style="thin">
        <color indexed="64"/>
      </top>
      <bottom style="thin">
        <color rgb="FFAAAAAA"/>
      </bottom>
      <diagonal/>
    </border>
    <border>
      <left style="thin">
        <color theme="0" tint="-0.249977111117893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indexed="64"/>
      </top>
      <bottom style="thin">
        <color rgb="FFAAAAAA"/>
      </bottom>
      <diagonal/>
    </border>
    <border>
      <left style="thin">
        <color rgb="FFAAAAAA"/>
      </left>
      <right style="thin">
        <color theme="0" tint="-0.249977111117893"/>
      </right>
      <top style="thin">
        <color indexed="64"/>
      </top>
      <bottom style="thin">
        <color rgb="FFAAAAAA"/>
      </bottom>
      <diagonal/>
    </border>
    <border>
      <left/>
      <right/>
      <top style="thin">
        <color indexed="64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rgb="FFAAAAAA"/>
      </top>
      <bottom/>
      <diagonal/>
    </border>
    <border>
      <left/>
      <right style="thin">
        <color theme="0" tint="-0.249977111117893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/>
      <bottom style="thin">
        <color rgb="FFAAAAAA"/>
      </bottom>
      <diagonal/>
    </border>
  </borders>
  <cellStyleXfs count="6">
    <xf numFmtId="0" fontId="0" fillId="0" borderId="0"/>
    <xf numFmtId="9" fontId="41" fillId="0" borderId="0" applyFont="0" applyFill="0" applyBorder="0" applyAlignment="0" applyProtection="0">
      <alignment vertical="center"/>
    </xf>
    <xf numFmtId="0" fontId="41" fillId="0" borderId="0"/>
    <xf numFmtId="0" fontId="46" fillId="0" borderId="0"/>
    <xf numFmtId="0" fontId="46" fillId="0" borderId="0" applyProtection="0"/>
    <xf numFmtId="0" fontId="42" fillId="0" borderId="0"/>
  </cellStyleXfs>
  <cellXfs count="284">
    <xf numFmtId="0" fontId="0" fillId="0" borderId="0" xfId="0"/>
    <xf numFmtId="0" fontId="1" fillId="0" borderId="0" xfId="3" applyFont="1"/>
    <xf numFmtId="0" fontId="2" fillId="0" borderId="0" xfId="3" applyFont="1"/>
    <xf numFmtId="0" fontId="3" fillId="0" borderId="0" xfId="3" applyFont="1"/>
    <xf numFmtId="0" fontId="4" fillId="0" borderId="0" xfId="3" applyFont="1"/>
    <xf numFmtId="0" fontId="3" fillId="0" borderId="0" xfId="0" applyFont="1"/>
    <xf numFmtId="164" fontId="5" fillId="0" borderId="0" xfId="0" applyNumberFormat="1" applyFont="1" applyBorder="1" applyAlignment="1">
      <alignment horizontal="left"/>
    </xf>
    <xf numFmtId="0" fontId="3" fillId="0" borderId="1" xfId="0" applyFont="1" applyBorder="1"/>
    <xf numFmtId="164" fontId="3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8" xfId="0" applyFont="1" applyFill="1" applyBorder="1" applyAlignment="1">
      <alignment horizontal="center" vertical="center"/>
    </xf>
    <xf numFmtId="0" fontId="9" fillId="3" borderId="9" xfId="1" applyNumberFormat="1" applyFont="1" applyFill="1" applyBorder="1" applyAlignment="1">
      <alignment horizontal="center" vertical="center" wrapText="1"/>
    </xf>
    <xf numFmtId="9" fontId="9" fillId="3" borderId="10" xfId="0" applyNumberFormat="1" applyFont="1" applyFill="1" applyBorder="1" applyAlignment="1">
      <alignment horizontal="center" vertical="center" wrapText="1"/>
    </xf>
    <xf numFmtId="9" fontId="8" fillId="3" borderId="11" xfId="0" applyNumberFormat="1" applyFont="1" applyFill="1" applyBorder="1" applyAlignment="1">
      <alignment horizontal="left" vertical="top" wrapText="1"/>
    </xf>
    <xf numFmtId="9" fontId="8" fillId="3" borderId="12" xfId="0" applyNumberFormat="1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 wrapText="1"/>
    </xf>
    <xf numFmtId="9" fontId="9" fillId="5" borderId="10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top" wrapText="1"/>
    </xf>
    <xf numFmtId="0" fontId="8" fillId="5" borderId="15" xfId="0" applyFont="1" applyFill="1" applyBorder="1" applyAlignment="1">
      <alignment horizontal="left" vertical="top" wrapText="1"/>
    </xf>
    <xf numFmtId="0" fontId="9" fillId="3" borderId="9" xfId="0" applyFont="1" applyFill="1" applyBorder="1" applyAlignment="1">
      <alignment horizontal="center" vertical="center" wrapText="1"/>
    </xf>
    <xf numFmtId="9" fontId="9" fillId="3" borderId="6" xfId="0" applyNumberFormat="1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vertical="top" wrapText="1"/>
    </xf>
    <xf numFmtId="0" fontId="9" fillId="5" borderId="16" xfId="0" applyFont="1" applyFill="1" applyBorder="1" applyAlignment="1">
      <alignment horizontal="center" vertical="center" wrapText="1"/>
    </xf>
    <xf numFmtId="9" fontId="9" fillId="5" borderId="17" xfId="0" applyNumberFormat="1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left" vertical="top" wrapText="1"/>
    </xf>
    <xf numFmtId="0" fontId="9" fillId="3" borderId="21" xfId="0" applyFont="1" applyFill="1" applyBorder="1" applyAlignment="1">
      <alignment horizontal="center" vertical="center" wrapText="1"/>
    </xf>
    <xf numFmtId="9" fontId="9" fillId="3" borderId="17" xfId="0" applyNumberFormat="1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/>
    </xf>
    <xf numFmtId="0" fontId="11" fillId="2" borderId="23" xfId="0" applyFont="1" applyFill="1" applyBorder="1"/>
    <xf numFmtId="0" fontId="10" fillId="2" borderId="24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right" wrapText="1"/>
    </xf>
    <xf numFmtId="0" fontId="0" fillId="0" borderId="0" xfId="0" applyAlignment="1">
      <alignment wrapText="1"/>
    </xf>
    <xf numFmtId="164" fontId="3" fillId="0" borderId="0" xfId="3" applyNumberFormat="1" applyFont="1"/>
    <xf numFmtId="164" fontId="3" fillId="0" borderId="27" xfId="0" applyNumberFormat="1" applyFont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14" fillId="0" borderId="0" xfId="0" applyFont="1"/>
    <xf numFmtId="0" fontId="13" fillId="0" borderId="0" xfId="0" applyFont="1"/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vertical="top"/>
    </xf>
    <xf numFmtId="0" fontId="2" fillId="6" borderId="0" xfId="4" applyFont="1" applyFill="1"/>
    <xf numFmtId="0" fontId="14" fillId="6" borderId="0" xfId="0" applyFont="1" applyFill="1" applyAlignment="1">
      <alignment wrapText="1"/>
    </xf>
    <xf numFmtId="0" fontId="13" fillId="6" borderId="0" xfId="0" applyFont="1" applyFill="1" applyAlignment="1">
      <alignment wrapText="1"/>
    </xf>
    <xf numFmtId="0" fontId="14" fillId="6" borderId="0" xfId="0" applyFont="1" applyFill="1"/>
    <xf numFmtId="0" fontId="2" fillId="6" borderId="33" xfId="4" applyFont="1" applyFill="1" applyBorder="1" applyAlignment="1">
      <alignment horizontal="left" wrapText="1"/>
    </xf>
    <xf numFmtId="0" fontId="3" fillId="6" borderId="0" xfId="4" applyFont="1" applyFill="1" applyAlignment="1">
      <alignment horizontal="left" wrapText="1"/>
    </xf>
    <xf numFmtId="0" fontId="13" fillId="6" borderId="0" xfId="0" applyFont="1" applyFill="1" applyAlignment="1">
      <alignment horizontal="center" wrapText="1"/>
    </xf>
    <xf numFmtId="0" fontId="13" fillId="6" borderId="0" xfId="0" applyFont="1" applyFill="1"/>
    <xf numFmtId="0" fontId="2" fillId="6" borderId="36" xfId="4" applyFont="1" applyFill="1" applyBorder="1" applyAlignment="1">
      <alignment horizontal="left" vertical="center" wrapText="1"/>
    </xf>
    <xf numFmtId="0" fontId="3" fillId="6" borderId="0" xfId="4" applyFont="1" applyFill="1" applyAlignment="1">
      <alignment horizontal="left" vertical="center" wrapText="1"/>
    </xf>
    <xf numFmtId="0" fontId="13" fillId="6" borderId="0" xfId="0" applyFont="1" applyFill="1" applyAlignment="1">
      <alignment vertical="center" wrapText="1"/>
    </xf>
    <xf numFmtId="0" fontId="13" fillId="6" borderId="36" xfId="0" applyFont="1" applyFill="1" applyBorder="1" applyAlignment="1">
      <alignment horizontal="right"/>
    </xf>
    <xf numFmtId="0" fontId="13" fillId="6" borderId="40" xfId="0" applyFont="1" applyFill="1" applyBorder="1" applyAlignment="1">
      <alignment wrapText="1"/>
    </xf>
    <xf numFmtId="0" fontId="13" fillId="6" borderId="40" xfId="0" applyFont="1" applyFill="1" applyBorder="1" applyAlignment="1">
      <alignment horizontal="center" wrapText="1"/>
    </xf>
    <xf numFmtId="0" fontId="13" fillId="6" borderId="41" xfId="0" applyFont="1" applyFill="1" applyBorder="1" applyAlignment="1">
      <alignment horizontal="center" wrapText="1"/>
    </xf>
    <xf numFmtId="0" fontId="13" fillId="6" borderId="42" xfId="0" applyFont="1" applyFill="1" applyBorder="1" applyAlignment="1">
      <alignment horizontal="right"/>
    </xf>
    <xf numFmtId="0" fontId="13" fillId="6" borderId="43" xfId="0" applyFont="1" applyFill="1" applyBorder="1" applyAlignment="1">
      <alignment wrapText="1"/>
    </xf>
    <xf numFmtId="0" fontId="13" fillId="0" borderId="43" xfId="0" applyFont="1" applyBorder="1" applyAlignment="1">
      <alignment horizontal="center"/>
    </xf>
    <xf numFmtId="1" fontId="13" fillId="6" borderId="44" xfId="0" applyNumberFormat="1" applyFont="1" applyFill="1" applyBorder="1" applyAlignment="1">
      <alignment horizontal="center" wrapText="1"/>
    </xf>
    <xf numFmtId="1" fontId="13" fillId="6" borderId="0" xfId="0" applyNumberFormat="1" applyFont="1" applyFill="1" applyAlignment="1">
      <alignment horizontal="center" wrapText="1"/>
    </xf>
    <xf numFmtId="0" fontId="13" fillId="6" borderId="46" xfId="0" applyFont="1" applyFill="1" applyBorder="1" applyAlignment="1">
      <alignment horizontal="center" wrapText="1"/>
    </xf>
    <xf numFmtId="0" fontId="15" fillId="6" borderId="0" xfId="0" applyFont="1" applyFill="1"/>
    <xf numFmtId="0" fontId="18" fillId="9" borderId="38" xfId="4" applyFont="1" applyFill="1" applyBorder="1" applyAlignment="1">
      <alignment horizontal="left" vertical="center" wrapText="1"/>
    </xf>
    <xf numFmtId="0" fontId="18" fillId="9" borderId="54" xfId="4" applyFont="1" applyFill="1" applyBorder="1" applyAlignment="1">
      <alignment horizontal="left" vertical="center" wrapText="1"/>
    </xf>
    <xf numFmtId="165" fontId="13" fillId="0" borderId="40" xfId="0" applyNumberFormat="1" applyFont="1" applyBorder="1" applyAlignment="1">
      <alignment horizontal="left" vertical="top" wrapText="1"/>
    </xf>
    <xf numFmtId="0" fontId="13" fillId="0" borderId="40" xfId="0" applyFont="1" applyBorder="1" applyAlignment="1">
      <alignment vertical="top" wrapText="1"/>
    </xf>
    <xf numFmtId="0" fontId="13" fillId="0" borderId="40" xfId="0" applyFont="1" applyBorder="1" applyAlignment="1">
      <alignment horizontal="left" vertical="top" wrapText="1"/>
    </xf>
    <xf numFmtId="0" fontId="13" fillId="0" borderId="37" xfId="0" applyFont="1" applyBorder="1" applyAlignment="1">
      <alignment horizontal="left" vertical="top" wrapText="1"/>
    </xf>
    <xf numFmtId="0" fontId="13" fillId="0" borderId="38" xfId="0" applyFont="1" applyBorder="1" applyAlignment="1">
      <alignment horizontal="left" vertical="top" wrapText="1"/>
    </xf>
    <xf numFmtId="0" fontId="13" fillId="0" borderId="54" xfId="0" applyFont="1" applyBorder="1" applyAlignment="1">
      <alignment horizontal="left" vertical="top" wrapText="1"/>
    </xf>
    <xf numFmtId="0" fontId="19" fillId="0" borderId="37" xfId="0" applyFont="1" applyBorder="1" applyAlignment="1">
      <alignment horizontal="left" vertical="top" wrapText="1"/>
    </xf>
    <xf numFmtId="0" fontId="13" fillId="0" borderId="51" xfId="0" applyFont="1" applyBorder="1" applyAlignment="1">
      <alignment horizontal="center" vertical="top" wrapText="1"/>
    </xf>
    <xf numFmtId="0" fontId="13" fillId="0" borderId="51" xfId="0" applyFont="1" applyBorder="1" applyAlignment="1">
      <alignment horizontal="left" vertical="top" wrapText="1"/>
    </xf>
    <xf numFmtId="0" fontId="13" fillId="0" borderId="40" xfId="0" applyFont="1" applyBorder="1" applyAlignment="1">
      <alignment horizontal="center" vertical="top" wrapText="1"/>
    </xf>
    <xf numFmtId="0" fontId="20" fillId="6" borderId="0" xfId="0" applyFont="1" applyFill="1" applyAlignment="1">
      <alignment wrapText="1"/>
    </xf>
    <xf numFmtId="0" fontId="20" fillId="6" borderId="32" xfId="0" applyFont="1" applyFill="1" applyBorder="1" applyAlignment="1">
      <alignment wrapText="1"/>
    </xf>
    <xf numFmtId="0" fontId="20" fillId="0" borderId="40" xfId="4" applyFont="1" applyBorder="1" applyAlignment="1">
      <alignment horizontal="left" vertical="top" wrapText="1"/>
    </xf>
    <xf numFmtId="0" fontId="18" fillId="0" borderId="40" xfId="4" applyFont="1" applyBorder="1" applyAlignment="1">
      <alignment horizontal="left" vertical="center" wrapText="1"/>
    </xf>
    <xf numFmtId="0" fontId="13" fillId="0" borderId="40" xfId="4" applyFont="1" applyBorder="1" applyAlignment="1">
      <alignment horizontal="left" vertical="center" wrapText="1"/>
    </xf>
    <xf numFmtId="0" fontId="14" fillId="6" borderId="32" xfId="0" applyFont="1" applyFill="1" applyBorder="1" applyAlignment="1">
      <alignment wrapText="1"/>
    </xf>
    <xf numFmtId="0" fontId="2" fillId="6" borderId="33" xfId="4" applyFont="1" applyFill="1" applyBorder="1" applyAlignment="1">
      <alignment horizontal="left" vertical="top" wrapText="1"/>
    </xf>
    <xf numFmtId="0" fontId="2" fillId="6" borderId="36" xfId="4" applyFont="1" applyFill="1" applyBorder="1" applyAlignment="1">
      <alignment horizontal="left" vertical="top" wrapText="1"/>
    </xf>
    <xf numFmtId="0" fontId="22" fillId="10" borderId="10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left" vertical="center" wrapText="1"/>
    </xf>
    <xf numFmtId="0" fontId="22" fillId="11" borderId="10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left" vertical="center" wrapText="1"/>
    </xf>
    <xf numFmtId="165" fontId="13" fillId="0" borderId="40" xfId="0" applyNumberFormat="1" applyFont="1" applyBorder="1" applyAlignment="1">
      <alignment vertical="top" wrapText="1"/>
    </xf>
    <xf numFmtId="0" fontId="13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0" fontId="13" fillId="0" borderId="54" xfId="0" applyFont="1" applyBorder="1" applyAlignment="1">
      <alignment vertical="top" wrapText="1"/>
    </xf>
    <xf numFmtId="0" fontId="19" fillId="0" borderId="37" xfId="0" applyFont="1" applyBorder="1" applyAlignment="1">
      <alignment vertical="top" wrapText="1"/>
    </xf>
    <xf numFmtId="0" fontId="18" fillId="9" borderId="38" xfId="4" applyFont="1" applyFill="1" applyBorder="1" applyAlignment="1">
      <alignment vertical="center" wrapText="1"/>
    </xf>
    <xf numFmtId="0" fontId="18" fillId="9" borderId="54" xfId="4" applyFont="1" applyFill="1" applyBorder="1" applyAlignment="1">
      <alignment vertical="center" wrapText="1"/>
    </xf>
    <xf numFmtId="0" fontId="13" fillId="0" borderId="51" xfId="0" applyFont="1" applyBorder="1" applyAlignment="1">
      <alignment vertical="top" wrapText="1"/>
    </xf>
    <xf numFmtId="0" fontId="26" fillId="11" borderId="10" xfId="0" applyFont="1" applyFill="1" applyBorder="1" applyAlignment="1">
      <alignment horizontal="left" vertical="center" wrapText="1"/>
    </xf>
    <xf numFmtId="165" fontId="13" fillId="12" borderId="40" xfId="0" applyNumberFormat="1" applyFont="1" applyFill="1" applyBorder="1" applyAlignment="1">
      <alignment horizontal="left" vertical="top" wrapText="1"/>
    </xf>
    <xf numFmtId="0" fontId="13" fillId="12" borderId="40" xfId="0" applyFont="1" applyFill="1" applyBorder="1" applyAlignment="1">
      <alignment horizontal="center" vertical="top" wrapText="1"/>
    </xf>
    <xf numFmtId="0" fontId="13" fillId="12" borderId="40" xfId="0" applyFont="1" applyFill="1" applyBorder="1" applyAlignment="1">
      <alignment horizontal="left" vertical="top" wrapText="1"/>
    </xf>
    <xf numFmtId="0" fontId="13" fillId="0" borderId="58" xfId="0" applyFont="1" applyBorder="1" applyAlignment="1">
      <alignment horizontal="left" vertical="top" wrapText="1"/>
    </xf>
    <xf numFmtId="0" fontId="19" fillId="0" borderId="40" xfId="0" applyFont="1" applyBorder="1" applyAlignment="1">
      <alignment horizontal="left" vertical="top" wrapText="1"/>
    </xf>
    <xf numFmtId="0" fontId="18" fillId="9" borderId="46" xfId="4" applyFont="1" applyFill="1" applyBorder="1" applyAlignment="1">
      <alignment horizontal="left" vertical="center" wrapText="1"/>
    </xf>
    <xf numFmtId="0" fontId="13" fillId="12" borderId="51" xfId="0" applyFont="1" applyFill="1" applyBorder="1" applyAlignment="1">
      <alignment horizontal="left" vertical="top" wrapText="1"/>
    </xf>
    <xf numFmtId="165" fontId="13" fillId="0" borderId="37" xfId="0" applyNumberFormat="1" applyFont="1" applyBorder="1" applyAlignment="1">
      <alignment horizontal="left" vertical="top" wrapText="1"/>
    </xf>
    <xf numFmtId="165" fontId="13" fillId="0" borderId="0" xfId="0" applyNumberFormat="1" applyFont="1" applyAlignment="1">
      <alignment horizontal="left" vertical="top" wrapText="1"/>
    </xf>
    <xf numFmtId="0" fontId="27" fillId="0" borderId="0" xfId="0" applyFont="1"/>
    <xf numFmtId="0" fontId="28" fillId="3" borderId="10" xfId="0" applyFont="1" applyFill="1" applyBorder="1" applyAlignment="1">
      <alignment horizontal="left" vertical="center" wrapText="1"/>
    </xf>
    <xf numFmtId="0" fontId="28" fillId="3" borderId="40" xfId="0" applyFont="1" applyFill="1" applyBorder="1" applyAlignment="1">
      <alignment horizontal="left" vertical="top" wrapText="1"/>
    </xf>
    <xf numFmtId="165" fontId="13" fillId="0" borderId="0" xfId="0" applyNumberFormat="1" applyFont="1" applyFill="1" applyBorder="1" applyAlignment="1">
      <alignment horizontal="left" vertical="top" wrapText="1"/>
    </xf>
    <xf numFmtId="0" fontId="28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top" wrapText="1"/>
    </xf>
    <xf numFmtId="0" fontId="29" fillId="0" borderId="0" xfId="0" applyFont="1"/>
    <xf numFmtId="165" fontId="13" fillId="0" borderId="51" xfId="0" applyNumberFormat="1" applyFont="1" applyBorder="1" applyAlignment="1">
      <alignment horizontal="left" vertical="top" wrapText="1"/>
    </xf>
    <xf numFmtId="0" fontId="29" fillId="0" borderId="40" xfId="0" applyFont="1" applyBorder="1"/>
    <xf numFmtId="0" fontId="13" fillId="0" borderId="40" xfId="4" applyFont="1" applyFill="1" applyBorder="1" applyAlignment="1">
      <alignment horizontal="left" vertical="top" wrapText="1"/>
    </xf>
    <xf numFmtId="0" fontId="13" fillId="0" borderId="40" xfId="4" applyFont="1" applyFill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top" wrapText="1"/>
    </xf>
    <xf numFmtId="0" fontId="31" fillId="0" borderId="0" xfId="0" applyFont="1"/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2" fillId="0" borderId="0" xfId="0" applyFont="1"/>
    <xf numFmtId="166" fontId="32" fillId="0" borderId="0" xfId="0" applyNumberFormat="1" applyFont="1"/>
    <xf numFmtId="166" fontId="31" fillId="0" borderId="0" xfId="0" applyNumberFormat="1" applyFont="1"/>
    <xf numFmtId="0" fontId="31" fillId="6" borderId="0" xfId="0" applyFont="1" applyFill="1"/>
    <xf numFmtId="166" fontId="33" fillId="6" borderId="0" xfId="0" applyNumberFormat="1" applyFont="1" applyFill="1"/>
    <xf numFmtId="166" fontId="34" fillId="6" borderId="0" xfId="0" applyNumberFormat="1" applyFont="1" applyFill="1"/>
    <xf numFmtId="0" fontId="35" fillId="0" borderId="0" xfId="2" applyFont="1"/>
    <xf numFmtId="0" fontId="36" fillId="0" borderId="0" xfId="2" applyFont="1"/>
    <xf numFmtId="0" fontId="35" fillId="0" borderId="59" xfId="2" applyFont="1" applyBorder="1"/>
    <xf numFmtId="166" fontId="37" fillId="0" borderId="0" xfId="0" applyNumberFormat="1" applyFont="1"/>
    <xf numFmtId="0" fontId="38" fillId="0" borderId="0" xfId="0" applyFont="1"/>
    <xf numFmtId="166" fontId="39" fillId="2" borderId="2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 wrapText="1"/>
    </xf>
    <xf numFmtId="0" fontId="39" fillId="2" borderId="60" xfId="0" applyFont="1" applyFill="1" applyBorder="1" applyAlignment="1">
      <alignment horizontal="center" vertical="center"/>
    </xf>
    <xf numFmtId="166" fontId="40" fillId="12" borderId="59" xfId="2" applyNumberFormat="1" applyFont="1" applyFill="1" applyBorder="1" applyAlignment="1">
      <alignment horizontal="center" vertical="center" wrapText="1"/>
    </xf>
    <xf numFmtId="0" fontId="40" fillId="12" borderId="59" xfId="2" applyFont="1" applyFill="1" applyBorder="1" applyAlignment="1">
      <alignment horizontal="center" vertical="center" wrapText="1"/>
    </xf>
    <xf numFmtId="0" fontId="40" fillId="12" borderId="59" xfId="0" applyFont="1" applyFill="1" applyBorder="1" applyAlignment="1">
      <alignment horizontal="center" vertical="center" wrapText="1"/>
    </xf>
    <xf numFmtId="166" fontId="40" fillId="12" borderId="61" xfId="2" applyNumberFormat="1" applyFont="1" applyFill="1" applyBorder="1" applyAlignment="1">
      <alignment horizontal="center" vertical="center" wrapText="1"/>
    </xf>
    <xf numFmtId="0" fontId="40" fillId="12" borderId="61" xfId="2" applyFont="1" applyFill="1" applyBorder="1" applyAlignment="1">
      <alignment horizontal="center" vertical="center" wrapText="1"/>
    </xf>
    <xf numFmtId="0" fontId="40" fillId="12" borderId="61" xfId="0" applyFont="1" applyFill="1" applyBorder="1" applyAlignment="1">
      <alignment horizontal="center" vertical="center" wrapText="1"/>
    </xf>
    <xf numFmtId="166" fontId="40" fillId="0" borderId="40" xfId="0" applyNumberFormat="1" applyFont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left" vertical="top" wrapText="1"/>
    </xf>
    <xf numFmtId="0" fontId="5" fillId="0" borderId="62" xfId="0" applyFont="1" applyFill="1" applyBorder="1" applyAlignment="1">
      <alignment horizontal="center" vertical="center"/>
    </xf>
    <xf numFmtId="9" fontId="9" fillId="3" borderId="20" xfId="0" applyNumberFormat="1" applyFont="1" applyFill="1" applyBorder="1" applyAlignment="1">
      <alignment horizontal="center" vertical="center" wrapText="1"/>
    </xf>
    <xf numFmtId="9" fontId="8" fillId="3" borderId="63" xfId="0" applyNumberFormat="1" applyFont="1" applyFill="1" applyBorder="1" applyAlignment="1">
      <alignment horizontal="left" vertical="top" wrapText="1"/>
    </xf>
    <xf numFmtId="9" fontId="8" fillId="3" borderId="0" xfId="0" applyNumberFormat="1" applyFont="1" applyFill="1" applyBorder="1" applyAlignment="1">
      <alignment horizontal="left" vertical="top" wrapText="1"/>
    </xf>
    <xf numFmtId="0" fontId="5" fillId="0" borderId="64" xfId="0" applyFont="1" applyFill="1" applyBorder="1" applyAlignment="1">
      <alignment horizontal="center" vertical="center"/>
    </xf>
    <xf numFmtId="0" fontId="9" fillId="3" borderId="65" xfId="0" applyFont="1" applyFill="1" applyBorder="1" applyAlignment="1">
      <alignment horizontal="center" vertical="center" wrapText="1"/>
    </xf>
    <xf numFmtId="9" fontId="9" fillId="3" borderId="66" xfId="0" applyNumberFormat="1" applyFont="1" applyFill="1" applyBorder="1" applyAlignment="1">
      <alignment horizontal="center" vertical="center" wrapText="1"/>
    </xf>
    <xf numFmtId="0" fontId="9" fillId="3" borderId="67" xfId="0" applyFont="1" applyFill="1" applyBorder="1" applyAlignment="1">
      <alignment horizontal="left" vertical="top" wrapText="1"/>
    </xf>
    <xf numFmtId="0" fontId="20" fillId="0" borderId="51" xfId="0" applyFont="1" applyBorder="1" applyAlignment="1">
      <alignment horizontal="left" vertical="top" wrapText="1"/>
    </xf>
    <xf numFmtId="0" fontId="13" fillId="0" borderId="51" xfId="0" applyFont="1" applyBorder="1" applyAlignment="1">
      <alignment horizontal="left" vertical="top" wrapText="1"/>
    </xf>
    <xf numFmtId="0" fontId="20" fillId="0" borderId="40" xfId="0" applyFont="1" applyBorder="1" applyAlignment="1">
      <alignment horizontal="left" vertical="top" wrapText="1"/>
    </xf>
    <xf numFmtId="0" fontId="13" fillId="0" borderId="40" xfId="0" applyFont="1" applyBorder="1" applyAlignment="1">
      <alignment horizontal="left" vertical="top" wrapText="1"/>
    </xf>
    <xf numFmtId="0" fontId="13" fillId="0" borderId="37" xfId="0" applyFont="1" applyBorder="1" applyAlignment="1">
      <alignment horizontal="left" vertical="top" wrapText="1"/>
    </xf>
    <xf numFmtId="0" fontId="13" fillId="0" borderId="38" xfId="0" applyFont="1" applyBorder="1" applyAlignment="1">
      <alignment horizontal="left" vertical="top" wrapText="1"/>
    </xf>
    <xf numFmtId="0" fontId="13" fillId="0" borderId="54" xfId="0" applyFont="1" applyBorder="1" applyAlignment="1">
      <alignment horizontal="left" vertical="top" wrapText="1"/>
    </xf>
    <xf numFmtId="0" fontId="30" fillId="9" borderId="56" xfId="4" applyFont="1" applyFill="1" applyBorder="1" applyAlignment="1">
      <alignment horizontal="left" vertical="center" wrapText="1"/>
    </xf>
    <xf numFmtId="0" fontId="13" fillId="9" borderId="57" xfId="4" applyFont="1" applyFill="1" applyBorder="1" applyAlignment="1">
      <alignment horizontal="left" vertical="center" wrapText="1"/>
    </xf>
    <xf numFmtId="0" fontId="13" fillId="9" borderId="58" xfId="4" applyFont="1" applyFill="1" applyBorder="1" applyAlignment="1">
      <alignment horizontal="left" vertical="center" wrapText="1"/>
    </xf>
    <xf numFmtId="0" fontId="13" fillId="0" borderId="37" xfId="4" applyFont="1" applyFill="1" applyBorder="1" applyAlignment="1">
      <alignment horizontal="left" vertical="top" wrapText="1"/>
    </xf>
    <xf numFmtId="0" fontId="13" fillId="0" borderId="38" xfId="4" applyFont="1" applyFill="1" applyBorder="1" applyAlignment="1">
      <alignment horizontal="left" vertical="top" wrapText="1"/>
    </xf>
    <xf numFmtId="0" fontId="13" fillId="0" borderId="54" xfId="4" applyFont="1" applyFill="1" applyBorder="1" applyAlignment="1">
      <alignment horizontal="left" vertical="top" wrapText="1"/>
    </xf>
    <xf numFmtId="0" fontId="18" fillId="9" borderId="37" xfId="4" applyFont="1" applyFill="1" applyBorder="1" applyAlignment="1">
      <alignment horizontal="left" vertical="center" wrapText="1"/>
    </xf>
    <xf numFmtId="0" fontId="18" fillId="9" borderId="38" xfId="4" applyFont="1" applyFill="1" applyBorder="1" applyAlignment="1">
      <alignment horizontal="left" vertical="center" wrapText="1"/>
    </xf>
    <xf numFmtId="0" fontId="18" fillId="9" borderId="54" xfId="4" applyFont="1" applyFill="1" applyBorder="1" applyAlignment="1">
      <alignment horizontal="left" vertical="center" wrapText="1"/>
    </xf>
    <xf numFmtId="0" fontId="20" fillId="0" borderId="37" xfId="0" applyFont="1" applyBorder="1" applyAlignment="1">
      <alignment horizontal="left" vertical="top" wrapText="1"/>
    </xf>
    <xf numFmtId="0" fontId="20" fillId="0" borderId="37" xfId="4" applyFont="1" applyBorder="1" applyAlignment="1">
      <alignment horizontal="left" vertical="top" wrapText="1"/>
    </xf>
    <xf numFmtId="0" fontId="18" fillId="0" borderId="38" xfId="4" applyFont="1" applyBorder="1" applyAlignment="1">
      <alignment horizontal="left" vertical="top" wrapText="1"/>
    </xf>
    <xf numFmtId="0" fontId="18" fillId="0" borderId="54" xfId="4" applyFont="1" applyBorder="1" applyAlignment="1">
      <alignment horizontal="left" vertical="top" wrapText="1"/>
    </xf>
    <xf numFmtId="0" fontId="20" fillId="0" borderId="38" xfId="0" applyFont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 wrapText="1"/>
    </xf>
    <xf numFmtId="0" fontId="13" fillId="6" borderId="0" xfId="0" applyFont="1" applyFill="1" applyAlignment="1">
      <alignment horizontal="center" wrapText="1"/>
    </xf>
    <xf numFmtId="0" fontId="13" fillId="6" borderId="45" xfId="0" applyFont="1" applyFill="1" applyBorder="1" applyAlignment="1">
      <alignment horizontal="center"/>
    </xf>
    <xf numFmtId="0" fontId="17" fillId="8" borderId="38" xfId="0" applyFont="1" applyFill="1" applyBorder="1" applyAlignment="1">
      <alignment horizontal="left" vertical="center"/>
    </xf>
    <xf numFmtId="0" fontId="17" fillId="8" borderId="54" xfId="0" applyFont="1" applyFill="1" applyBorder="1" applyAlignment="1">
      <alignment horizontal="left" vertical="center"/>
    </xf>
    <xf numFmtId="0" fontId="11" fillId="7" borderId="47" xfId="4" applyFont="1" applyFill="1" applyBorder="1" applyAlignment="1">
      <alignment horizontal="center" vertical="center" wrapText="1"/>
    </xf>
    <xf numFmtId="0" fontId="11" fillId="7" borderId="40" xfId="4" applyFont="1" applyFill="1" applyBorder="1" applyAlignment="1">
      <alignment horizontal="center" vertical="center" wrapText="1"/>
    </xf>
    <xf numFmtId="0" fontId="11" fillId="7" borderId="47" xfId="4" applyFont="1" applyFill="1" applyBorder="1" applyAlignment="1">
      <alignment vertical="center" wrapText="1"/>
    </xf>
    <xf numFmtId="0" fontId="11" fillId="7" borderId="40" xfId="4" applyFont="1" applyFill="1" applyBorder="1" applyAlignment="1">
      <alignment vertical="center" wrapText="1"/>
    </xf>
    <xf numFmtId="0" fontId="11" fillId="7" borderId="50" xfId="4" applyFont="1" applyFill="1" applyBorder="1" applyAlignment="1">
      <alignment horizontal="center" vertical="center" wrapText="1"/>
    </xf>
    <xf numFmtId="0" fontId="11" fillId="7" borderId="51" xfId="4" applyFont="1" applyFill="1" applyBorder="1" applyAlignment="1">
      <alignment horizontal="center" vertical="center" wrapText="1"/>
    </xf>
    <xf numFmtId="0" fontId="11" fillId="7" borderId="48" xfId="4" applyFont="1" applyFill="1" applyBorder="1" applyAlignment="1">
      <alignment horizontal="center" vertical="center" wrapText="1"/>
    </xf>
    <xf numFmtId="0" fontId="11" fillId="7" borderId="0" xfId="4" applyFont="1" applyFill="1" applyAlignment="1">
      <alignment horizontal="center" vertical="center" wrapText="1"/>
    </xf>
    <xf numFmtId="0" fontId="11" fillId="7" borderId="49" xfId="4" applyFont="1" applyFill="1" applyBorder="1" applyAlignment="1">
      <alignment horizontal="center" vertical="center" wrapText="1"/>
    </xf>
    <xf numFmtId="0" fontId="11" fillId="7" borderId="52" xfId="4" applyFont="1" applyFill="1" applyBorder="1" applyAlignment="1">
      <alignment horizontal="center" vertical="center" wrapText="1"/>
    </xf>
    <xf numFmtId="0" fontId="11" fillId="7" borderId="46" xfId="4" applyFont="1" applyFill="1" applyBorder="1" applyAlignment="1">
      <alignment horizontal="center" vertical="center" wrapText="1"/>
    </xf>
    <xf numFmtId="0" fontId="11" fillId="7" borderId="53" xfId="4" applyFont="1" applyFill="1" applyBorder="1" applyAlignment="1">
      <alignment horizontal="center" vertical="center" wrapText="1"/>
    </xf>
    <xf numFmtId="0" fontId="3" fillId="6" borderId="34" xfId="4" applyFont="1" applyFill="1" applyBorder="1" applyAlignment="1">
      <alignment horizontal="left" wrapText="1"/>
    </xf>
    <xf numFmtId="0" fontId="3" fillId="6" borderId="35" xfId="4" applyFont="1" applyFill="1" applyBorder="1" applyAlignment="1">
      <alignment horizontal="left" wrapText="1"/>
    </xf>
    <xf numFmtId="0" fontId="3" fillId="6" borderId="37" xfId="4" applyFont="1" applyFill="1" applyBorder="1" applyAlignment="1">
      <alignment horizontal="left" vertical="top" wrapText="1"/>
    </xf>
    <xf numFmtId="0" fontId="3" fillId="6" borderId="38" xfId="4" applyFont="1" applyFill="1" applyBorder="1" applyAlignment="1">
      <alignment horizontal="left" vertical="top" wrapText="1"/>
    </xf>
    <xf numFmtId="0" fontId="3" fillId="6" borderId="39" xfId="4" applyFont="1" applyFill="1" applyBorder="1" applyAlignment="1">
      <alignment horizontal="left" vertical="top" wrapText="1"/>
    </xf>
    <xf numFmtId="0" fontId="3" fillId="6" borderId="37" xfId="4" applyFont="1" applyFill="1" applyBorder="1" applyAlignment="1">
      <alignment horizontal="left" vertical="center" wrapText="1"/>
    </xf>
    <xf numFmtId="0" fontId="3" fillId="6" borderId="38" xfId="4" applyFont="1" applyFill="1" applyBorder="1" applyAlignment="1">
      <alignment horizontal="left" vertical="center" wrapText="1"/>
    </xf>
    <xf numFmtId="0" fontId="3" fillId="6" borderId="39" xfId="4" applyFont="1" applyFill="1" applyBorder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0" fontId="18" fillId="0" borderId="0" xfId="4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13" fillId="0" borderId="56" xfId="0" applyFont="1" applyBorder="1" applyAlignment="1">
      <alignment horizontal="left" vertical="top" wrapText="1"/>
    </xf>
    <xf numFmtId="0" fontId="13" fillId="0" borderId="57" xfId="0" applyFont="1" applyBorder="1" applyAlignment="1">
      <alignment horizontal="left" vertical="top" wrapText="1"/>
    </xf>
    <xf numFmtId="0" fontId="18" fillId="9" borderId="38" xfId="4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left" vertical="top" wrapText="1"/>
    </xf>
    <xf numFmtId="0" fontId="18" fillId="0" borderId="38" xfId="0" applyFont="1" applyBorder="1" applyAlignment="1">
      <alignment horizontal="left" vertical="top" wrapText="1"/>
    </xf>
    <xf numFmtId="0" fontId="23" fillId="9" borderId="37" xfId="4" applyFont="1" applyFill="1" applyBorder="1" applyAlignment="1">
      <alignment horizontal="left" vertical="center" wrapText="1"/>
    </xf>
    <xf numFmtId="0" fontId="25" fillId="9" borderId="37" xfId="4" applyFont="1" applyFill="1" applyBorder="1" applyAlignment="1">
      <alignment horizontal="left" vertical="center" wrapText="1"/>
    </xf>
    <xf numFmtId="0" fontId="25" fillId="9" borderId="38" xfId="4" applyFont="1" applyFill="1" applyBorder="1" applyAlignment="1">
      <alignment horizontal="left" vertical="center" wrapText="1"/>
    </xf>
    <xf numFmtId="0" fontId="25" fillId="9" borderId="54" xfId="4" applyFont="1" applyFill="1" applyBorder="1" applyAlignment="1">
      <alignment horizontal="left" vertical="center" wrapText="1"/>
    </xf>
    <xf numFmtId="0" fontId="24" fillId="9" borderId="38" xfId="4" applyFont="1" applyFill="1" applyBorder="1" applyAlignment="1">
      <alignment horizontal="left" vertical="center" wrapText="1"/>
    </xf>
    <xf numFmtId="0" fontId="24" fillId="9" borderId="54" xfId="4" applyFont="1" applyFill="1" applyBorder="1" applyAlignment="1">
      <alignment horizontal="left" vertical="center" wrapText="1"/>
    </xf>
    <xf numFmtId="0" fontId="13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0" fontId="18" fillId="9" borderId="37" xfId="4" applyFont="1" applyFill="1" applyBorder="1" applyAlignment="1">
      <alignment vertical="center" wrapText="1"/>
    </xf>
    <xf numFmtId="0" fontId="18" fillId="9" borderId="38" xfId="4" applyFont="1" applyFill="1" applyBorder="1" applyAlignment="1">
      <alignment vertical="center" wrapText="1"/>
    </xf>
    <xf numFmtId="0" fontId="18" fillId="0" borderId="38" xfId="0" applyFont="1" applyBorder="1" applyAlignment="1">
      <alignment vertical="top" wrapText="1"/>
    </xf>
    <xf numFmtId="0" fontId="21" fillId="9" borderId="37" xfId="4" applyFont="1" applyFill="1" applyBorder="1" applyAlignment="1">
      <alignment horizontal="left" vertical="center" wrapText="1"/>
    </xf>
    <xf numFmtId="0" fontId="13" fillId="6" borderId="55" xfId="0" applyFont="1" applyFill="1" applyBorder="1" applyAlignment="1">
      <alignment horizontal="center"/>
    </xf>
    <xf numFmtId="0" fontId="14" fillId="6" borderId="0" xfId="0" applyFont="1" applyFill="1" applyAlignment="1">
      <alignment horizontal="center" wrapText="1"/>
    </xf>
    <xf numFmtId="0" fontId="14" fillId="6" borderId="32" xfId="0" applyFont="1" applyFill="1" applyBorder="1" applyAlignment="1">
      <alignment horizontal="center" wrapText="1"/>
    </xf>
    <xf numFmtId="0" fontId="18" fillId="9" borderId="37" xfId="4" applyFont="1" applyFill="1" applyBorder="1" applyAlignment="1">
      <alignment horizontal="center" vertical="center" wrapText="1"/>
    </xf>
    <xf numFmtId="1" fontId="9" fillId="3" borderId="7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1" fontId="9" fillId="5" borderId="7" xfId="0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1" fontId="10" fillId="2" borderId="30" xfId="0" applyNumberFormat="1" applyFont="1" applyFill="1" applyBorder="1" applyAlignment="1">
      <alignment horizontal="center"/>
    </xf>
    <xf numFmtId="0" fontId="10" fillId="2" borderId="31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 wrapText="1"/>
    </xf>
    <xf numFmtId="0" fontId="11" fillId="2" borderId="29" xfId="0" applyFont="1" applyFill="1" applyBorder="1" applyAlignment="1">
      <alignment horizontal="center" wrapText="1"/>
    </xf>
    <xf numFmtId="1" fontId="8" fillId="3" borderId="7" xfId="0" applyNumberFormat="1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left" vertical="top" wrapText="1"/>
    </xf>
    <xf numFmtId="0" fontId="5" fillId="0" borderId="68" xfId="0" applyFont="1" applyFill="1" applyBorder="1" applyAlignment="1">
      <alignment horizontal="center" vertical="center"/>
    </xf>
    <xf numFmtId="0" fontId="0" fillId="0" borderId="1" xfId="0" applyBorder="1"/>
    <xf numFmtId="9" fontId="8" fillId="3" borderId="69" xfId="0" applyNumberFormat="1" applyFont="1" applyFill="1" applyBorder="1" applyAlignment="1">
      <alignment horizontal="center" vertical="top" wrapText="1"/>
    </xf>
    <xf numFmtId="9" fontId="8" fillId="3" borderId="70" xfId="0" applyNumberFormat="1" applyFont="1" applyFill="1" applyBorder="1" applyAlignment="1">
      <alignment horizontal="center" vertical="top" wrapText="1"/>
    </xf>
    <xf numFmtId="0" fontId="8" fillId="3" borderId="15" xfId="0" applyFont="1" applyFill="1" applyBorder="1" applyAlignment="1">
      <alignment horizontal="left" vertical="top" wrapText="1"/>
    </xf>
    <xf numFmtId="0" fontId="8" fillId="3" borderId="71" xfId="0" applyFont="1" applyFill="1" applyBorder="1" applyAlignment="1">
      <alignment horizontal="left" vertical="top" wrapText="1"/>
    </xf>
    <xf numFmtId="9" fontId="8" fillId="3" borderId="69" xfId="0" applyNumberFormat="1" applyFont="1" applyFill="1" applyBorder="1" applyAlignment="1">
      <alignment horizontal="center" vertical="top" wrapText="1"/>
    </xf>
    <xf numFmtId="9" fontId="8" fillId="3" borderId="70" xfId="0" applyNumberFormat="1" applyFont="1" applyFill="1" applyBorder="1" applyAlignment="1">
      <alignment horizontal="center" vertical="top" wrapText="1"/>
    </xf>
    <xf numFmtId="0" fontId="8" fillId="3" borderId="73" xfId="0" applyFont="1" applyFill="1" applyBorder="1" applyAlignment="1">
      <alignment horizontal="left" vertical="top" wrapText="1"/>
    </xf>
    <xf numFmtId="9" fontId="8" fillId="3" borderId="72" xfId="0" applyNumberFormat="1" applyFont="1" applyFill="1" applyBorder="1" applyAlignment="1">
      <alignment horizontal="center" vertical="top" wrapText="1"/>
    </xf>
    <xf numFmtId="0" fontId="9" fillId="3" borderId="74" xfId="0" applyFont="1" applyFill="1" applyBorder="1" applyAlignment="1">
      <alignment horizontal="center" vertical="center" wrapText="1"/>
    </xf>
    <xf numFmtId="0" fontId="9" fillId="3" borderId="75" xfId="1" applyNumberFormat="1" applyFont="1" applyFill="1" applyBorder="1" applyAlignment="1">
      <alignment horizontal="center" vertical="center" wrapText="1"/>
    </xf>
    <xf numFmtId="0" fontId="9" fillId="3" borderId="76" xfId="1" applyNumberFormat="1" applyFont="1" applyFill="1" applyBorder="1" applyAlignment="1">
      <alignment horizontal="center" vertical="center" wrapText="1"/>
    </xf>
    <xf numFmtId="9" fontId="9" fillId="3" borderId="77" xfId="0" applyNumberFormat="1" applyFont="1" applyFill="1" applyBorder="1" applyAlignment="1">
      <alignment horizontal="center" vertical="center" wrapText="1"/>
    </xf>
    <xf numFmtId="9" fontId="8" fillId="3" borderId="78" xfId="0" applyNumberFormat="1" applyFont="1" applyFill="1" applyBorder="1" applyAlignment="1">
      <alignment horizontal="left" vertical="top" wrapText="1"/>
    </xf>
    <xf numFmtId="9" fontId="8" fillId="3" borderId="57" xfId="0" applyNumberFormat="1" applyFont="1" applyFill="1" applyBorder="1" applyAlignment="1">
      <alignment horizontal="left" vertical="top" wrapText="1"/>
    </xf>
    <xf numFmtId="0" fontId="8" fillId="3" borderId="67" xfId="0" applyFont="1" applyFill="1" applyBorder="1" applyAlignment="1">
      <alignment horizontal="left" vertical="top" wrapText="1"/>
    </xf>
    <xf numFmtId="9" fontId="8" fillId="3" borderId="72" xfId="0" applyNumberFormat="1" applyFont="1" applyFill="1" applyBorder="1" applyAlignment="1">
      <alignment horizontal="center" vertical="top" wrapText="1"/>
    </xf>
    <xf numFmtId="0" fontId="8" fillId="4" borderId="16" xfId="0" applyFont="1" applyFill="1" applyBorder="1" applyAlignment="1">
      <alignment horizontal="left" vertical="center" wrapText="1"/>
    </xf>
    <xf numFmtId="0" fontId="8" fillId="4" borderId="67" xfId="0" applyFont="1" applyFill="1" applyBorder="1" applyAlignment="1">
      <alignment horizontal="left" vertical="center" wrapText="1"/>
    </xf>
    <xf numFmtId="0" fontId="8" fillId="4" borderId="79" xfId="0" applyFont="1" applyFill="1" applyBorder="1" applyAlignment="1">
      <alignment horizontal="left"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8" fillId="3" borderId="80" xfId="0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8" fillId="4" borderId="81" xfId="0" applyFont="1" applyFill="1" applyBorder="1" applyAlignment="1">
      <alignment horizontal="left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9" fillId="3" borderId="82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2"/>
    <cellStyle name="Normal_Functional Test Case v1.0" xfId="3"/>
    <cellStyle name="Normal_Sheet1_Vanco_CR022a1_TestCase_v0.1" xfId="4"/>
    <cellStyle name="Percent" xfId="1" builtinId="5"/>
    <cellStyle name="標準_結合試験(AllOvertheWorld)" xfId="5"/>
  </cellStyles>
  <dxfs count="0"/>
  <tableStyles count="1" defaultTableStyle="TableStyleMedium9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97446</xdr:colOff>
      <xdr:row>29</xdr:row>
      <xdr:rowOff>116798</xdr:rowOff>
    </xdr:from>
    <xdr:ext cx="3406435" cy="835702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8471" y="8917898"/>
          <a:ext cx="3406435" cy="835702"/>
        </a:xfrm>
        <a:prstGeom prst="rect">
          <a:avLst/>
        </a:prstGeom>
      </xdr:spPr>
    </xdr:pic>
    <xdr:clientData/>
  </xdr:oneCellAnchor>
  <xdr:twoCellAnchor editAs="oneCell">
    <xdr:from>
      <xdr:col>8</xdr:col>
      <xdr:colOff>88681</xdr:colOff>
      <xdr:row>34</xdr:row>
      <xdr:rowOff>112658</xdr:rowOff>
    </xdr:from>
    <xdr:to>
      <xdr:col>8</xdr:col>
      <xdr:colOff>3498630</xdr:colOff>
      <xdr:row>38</xdr:row>
      <xdr:rowOff>116496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6457" y="9979244"/>
          <a:ext cx="3409949" cy="844666"/>
        </a:xfrm>
        <a:prstGeom prst="rect">
          <a:avLst/>
        </a:prstGeom>
      </xdr:spPr>
    </xdr:pic>
    <xdr:clientData/>
  </xdr:twoCellAnchor>
  <xdr:twoCellAnchor editAs="oneCell">
    <xdr:from>
      <xdr:col>8</xdr:col>
      <xdr:colOff>85396</xdr:colOff>
      <xdr:row>39</xdr:row>
      <xdr:rowOff>65690</xdr:rowOff>
    </xdr:from>
    <xdr:to>
      <xdr:col>8</xdr:col>
      <xdr:colOff>3507563</xdr:colOff>
      <xdr:row>43</xdr:row>
      <xdr:rowOff>111671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3172" y="10983311"/>
          <a:ext cx="3422167" cy="8211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sdc-nt2/osdc/Documents%20and%20Settings/ThoanCT/My%20Documents/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zoomScale="55" zoomScaleNormal="55" workbookViewId="0">
      <selection activeCell="F29" sqref="F29"/>
    </sheetView>
  </sheetViews>
  <sheetFormatPr defaultColWidth="9" defaultRowHeight="14.25"/>
  <cols>
    <col min="1" max="1" width="9" style="143"/>
    <col min="2" max="2" width="29.75" style="144" customWidth="1"/>
    <col min="3" max="3" width="23.125" style="143" customWidth="1"/>
    <col min="4" max="4" width="66.75" style="143" customWidth="1"/>
    <col min="5" max="5" width="141.375" style="143" customWidth="1"/>
    <col min="6" max="7" width="31.125" style="143" customWidth="1"/>
    <col min="8" max="8" width="174.5" style="143" customWidth="1"/>
    <col min="9" max="16384" width="9" style="143"/>
  </cols>
  <sheetData>
    <row r="1" spans="1:9" s="139" customFormat="1" ht="23.25">
      <c r="B1" s="145"/>
    </row>
    <row r="2" spans="1:9" s="139" customFormat="1" ht="23.25">
      <c r="A2" s="146"/>
      <c r="B2" s="147" t="s">
        <v>0</v>
      </c>
      <c r="C2" s="146"/>
      <c r="D2" s="146"/>
      <c r="E2" s="146"/>
      <c r="F2" s="146"/>
      <c r="G2" s="146"/>
    </row>
    <row r="3" spans="1:9" s="139" customFormat="1" ht="24.75">
      <c r="A3" s="146"/>
      <c r="B3" s="148" t="s">
        <v>1</v>
      </c>
      <c r="C3" s="149">
        <v>1.2</v>
      </c>
      <c r="D3" s="150"/>
      <c r="E3" s="150"/>
      <c r="F3" s="150"/>
      <c r="G3" s="150"/>
      <c r="H3" s="150"/>
      <c r="I3" s="150"/>
    </row>
    <row r="4" spans="1:9" s="139" customFormat="1" ht="24.75">
      <c r="A4" s="146"/>
      <c r="B4" s="148" t="s">
        <v>2</v>
      </c>
      <c r="C4" s="149" t="s">
        <v>3</v>
      </c>
      <c r="D4" s="150"/>
      <c r="E4" s="150"/>
      <c r="F4" s="150"/>
      <c r="G4" s="150"/>
      <c r="H4" s="150"/>
      <c r="I4" s="150"/>
    </row>
    <row r="5" spans="1:9" s="139" customFormat="1" ht="24.75">
      <c r="A5" s="146"/>
      <c r="B5" s="148"/>
      <c r="C5" s="150"/>
      <c r="D5" s="150"/>
      <c r="E5" s="150"/>
      <c r="F5" s="150"/>
      <c r="G5" s="150"/>
      <c r="H5" s="150"/>
      <c r="I5" s="150"/>
    </row>
    <row r="6" spans="1:9" s="139" customFormat="1" ht="47.45" customHeight="1">
      <c r="A6" s="146"/>
      <c r="B6" s="148" t="s">
        <v>4</v>
      </c>
      <c r="C6" s="151" t="s">
        <v>5</v>
      </c>
      <c r="D6" s="150"/>
      <c r="E6" s="150"/>
      <c r="F6" s="150"/>
      <c r="G6" s="150"/>
      <c r="H6" s="150"/>
      <c r="I6" s="150"/>
    </row>
    <row r="7" spans="1:9" s="139" customFormat="1" ht="27" customHeight="1">
      <c r="A7" s="146"/>
      <c r="B7" s="148" t="s">
        <v>6</v>
      </c>
      <c r="C7" s="151" t="s">
        <v>7</v>
      </c>
      <c r="D7" s="150"/>
      <c r="E7" s="150"/>
      <c r="F7" s="150"/>
      <c r="G7" s="150"/>
      <c r="H7" s="150"/>
      <c r="I7" s="150"/>
    </row>
    <row r="8" spans="1:9" s="139" customFormat="1" ht="23.25">
      <c r="A8" s="146"/>
      <c r="B8" s="148"/>
      <c r="C8" s="146"/>
      <c r="D8" s="146"/>
      <c r="E8" s="146"/>
      <c r="F8" s="146"/>
      <c r="G8" s="146"/>
    </row>
    <row r="9" spans="1:9" s="139" customFormat="1" ht="23.25">
      <c r="A9" s="146"/>
      <c r="B9" s="145"/>
      <c r="F9" s="146"/>
      <c r="G9" s="146"/>
    </row>
    <row r="10" spans="1:9" s="139" customFormat="1" ht="24">
      <c r="B10" s="152" t="s">
        <v>8</v>
      </c>
      <c r="C10" s="153"/>
      <c r="D10" s="153"/>
      <c r="E10" s="153"/>
      <c r="F10" s="153"/>
      <c r="G10" s="153"/>
      <c r="H10" s="153"/>
    </row>
    <row r="11" spans="1:9" s="140" customFormat="1" ht="63.6" customHeight="1">
      <c r="B11" s="154"/>
      <c r="C11" s="155" t="s">
        <v>9</v>
      </c>
      <c r="D11" s="155" t="s">
        <v>10</v>
      </c>
      <c r="E11" s="155" t="s">
        <v>11</v>
      </c>
      <c r="F11" s="155" t="s">
        <v>12</v>
      </c>
      <c r="G11" s="156" t="s">
        <v>13</v>
      </c>
      <c r="H11" s="157" t="s">
        <v>14</v>
      </c>
    </row>
    <row r="12" spans="1:9" s="141" customFormat="1" ht="49.9" customHeight="1">
      <c r="B12" s="158">
        <v>46268</v>
      </c>
      <c r="C12" s="159" t="s">
        <v>15</v>
      </c>
      <c r="D12" s="159" t="s">
        <v>16</v>
      </c>
      <c r="E12" s="159" t="s">
        <v>17</v>
      </c>
      <c r="F12" s="159" t="s">
        <v>18</v>
      </c>
      <c r="G12" s="159" t="s">
        <v>18</v>
      </c>
      <c r="H12" s="160" t="s">
        <v>19</v>
      </c>
    </row>
    <row r="13" spans="1:9" s="141" customFormat="1" ht="49.9" customHeight="1">
      <c r="B13" s="158">
        <v>46116</v>
      </c>
      <c r="C13" s="159">
        <v>1.1000000000000001</v>
      </c>
      <c r="D13" s="159" t="s">
        <v>20</v>
      </c>
      <c r="E13" s="159" t="s">
        <v>21</v>
      </c>
      <c r="F13" s="159" t="s">
        <v>22</v>
      </c>
      <c r="G13" s="159" t="s">
        <v>18</v>
      </c>
      <c r="H13" s="160" t="s">
        <v>23</v>
      </c>
    </row>
    <row r="14" spans="1:9" s="141" customFormat="1" ht="49.9" customHeight="1">
      <c r="B14" s="158">
        <v>46116</v>
      </c>
      <c r="C14" s="159">
        <v>1.1000000000000001</v>
      </c>
      <c r="D14" s="159" t="s">
        <v>24</v>
      </c>
      <c r="E14" s="159" t="s">
        <v>25</v>
      </c>
      <c r="F14" s="159" t="s">
        <v>26</v>
      </c>
      <c r="G14" s="159" t="s">
        <v>18</v>
      </c>
      <c r="H14" s="160" t="s">
        <v>27</v>
      </c>
    </row>
    <row r="15" spans="1:9" s="141" customFormat="1" ht="49.9" customHeight="1">
      <c r="B15" s="158">
        <v>46116</v>
      </c>
      <c r="C15" s="159">
        <v>1.1000000000000001</v>
      </c>
      <c r="D15" s="159" t="s">
        <v>28</v>
      </c>
      <c r="E15" s="159" t="s">
        <v>29</v>
      </c>
      <c r="F15" s="159" t="s">
        <v>18</v>
      </c>
      <c r="G15" s="159" t="s">
        <v>18</v>
      </c>
      <c r="H15" s="160" t="s">
        <v>30</v>
      </c>
    </row>
    <row r="16" spans="1:9" s="141" customFormat="1" ht="49.9" customHeight="1">
      <c r="B16" s="158">
        <v>46116</v>
      </c>
      <c r="C16" s="159">
        <v>1.1000000000000001</v>
      </c>
      <c r="D16" s="159" t="s">
        <v>31</v>
      </c>
      <c r="E16" s="159" t="s">
        <v>32</v>
      </c>
      <c r="F16" s="159" t="s">
        <v>18</v>
      </c>
      <c r="G16" s="159" t="s">
        <v>18</v>
      </c>
      <c r="H16" s="160" t="s">
        <v>33</v>
      </c>
    </row>
    <row r="17" spans="2:8" s="142" customFormat="1" ht="49.9" customHeight="1">
      <c r="B17" s="158">
        <v>46330</v>
      </c>
      <c r="C17" s="159">
        <v>1.2</v>
      </c>
      <c r="D17" s="159" t="s">
        <v>20</v>
      </c>
      <c r="E17" s="159" t="s">
        <v>34</v>
      </c>
      <c r="F17" s="159" t="s">
        <v>22</v>
      </c>
      <c r="G17" s="159" t="s">
        <v>18</v>
      </c>
      <c r="H17" s="160" t="s">
        <v>23</v>
      </c>
    </row>
    <row r="18" spans="2:8" s="142" customFormat="1" ht="49.9" customHeight="1">
      <c r="B18" s="158">
        <v>46330</v>
      </c>
      <c r="C18" s="159">
        <v>1.2</v>
      </c>
      <c r="D18" s="159" t="s">
        <v>24</v>
      </c>
      <c r="E18" s="159" t="s">
        <v>35</v>
      </c>
      <c r="F18" s="159" t="s">
        <v>26</v>
      </c>
      <c r="G18" s="159" t="s">
        <v>18</v>
      </c>
      <c r="H18" s="160" t="s">
        <v>27</v>
      </c>
    </row>
    <row r="19" spans="2:8" s="141" customFormat="1" ht="49.9" customHeight="1">
      <c r="B19" s="158" t="s">
        <v>36</v>
      </c>
      <c r="C19" s="159">
        <v>1.2</v>
      </c>
      <c r="D19" s="159" t="s">
        <v>37</v>
      </c>
      <c r="E19" s="159" t="s">
        <v>38</v>
      </c>
      <c r="F19" s="159" t="s">
        <v>18</v>
      </c>
      <c r="G19" s="159"/>
      <c r="H19" s="160" t="s">
        <v>39</v>
      </c>
    </row>
    <row r="20" spans="2:8" s="141" customFormat="1" ht="49.9" customHeight="1">
      <c r="B20" s="158" t="s">
        <v>40</v>
      </c>
      <c r="C20" s="159">
        <v>1.3</v>
      </c>
      <c r="D20" s="159" t="s">
        <v>41</v>
      </c>
      <c r="E20" s="159" t="s">
        <v>42</v>
      </c>
      <c r="F20" s="159" t="s">
        <v>26</v>
      </c>
      <c r="G20" s="159"/>
      <c r="H20" s="160" t="s">
        <v>43</v>
      </c>
    </row>
    <row r="21" spans="2:8" s="141" customFormat="1" ht="49.9" customHeight="1">
      <c r="B21" s="158" t="s">
        <v>44</v>
      </c>
      <c r="C21" s="159">
        <v>1.3</v>
      </c>
      <c r="D21" s="159" t="s">
        <v>28</v>
      </c>
      <c r="E21" s="159" t="s">
        <v>45</v>
      </c>
      <c r="F21" s="159" t="s">
        <v>18</v>
      </c>
      <c r="G21" s="159"/>
      <c r="H21" s="160" t="s">
        <v>30</v>
      </c>
    </row>
    <row r="22" spans="2:8" s="141" customFormat="1" ht="49.9" customHeight="1">
      <c r="B22" s="158" t="s">
        <v>44</v>
      </c>
      <c r="C22" s="159">
        <v>1.3</v>
      </c>
      <c r="D22" s="159" t="s">
        <v>31</v>
      </c>
      <c r="E22" s="159" t="s">
        <v>46</v>
      </c>
      <c r="F22" s="159" t="s">
        <v>18</v>
      </c>
      <c r="G22" s="159"/>
      <c r="H22" s="160" t="s">
        <v>33</v>
      </c>
    </row>
    <row r="23" spans="2:8" s="141" customFormat="1" ht="49.9" customHeight="1">
      <c r="B23" s="158">
        <v>46134</v>
      </c>
      <c r="C23" s="159" t="s">
        <v>47</v>
      </c>
      <c r="D23" s="159" t="s">
        <v>48</v>
      </c>
      <c r="E23" s="159" t="s">
        <v>49</v>
      </c>
      <c r="F23" s="159" t="s">
        <v>18</v>
      </c>
      <c r="G23" s="159"/>
      <c r="H23" s="160" t="s">
        <v>50</v>
      </c>
    </row>
    <row r="24" spans="2:8" s="141" customFormat="1" ht="49.9" customHeight="1">
      <c r="B24" s="158">
        <v>46135</v>
      </c>
      <c r="C24" s="159" t="s">
        <v>51</v>
      </c>
      <c r="D24" s="159" t="s">
        <v>20</v>
      </c>
      <c r="E24" s="159" t="s">
        <v>52</v>
      </c>
      <c r="F24" s="159" t="s">
        <v>22</v>
      </c>
      <c r="G24" s="159"/>
      <c r="H24" s="160"/>
    </row>
    <row r="25" spans="2:8" s="141" customFormat="1" ht="49.9" customHeight="1">
      <c r="B25" s="158">
        <v>46135</v>
      </c>
      <c r="C25" s="159" t="s">
        <v>51</v>
      </c>
      <c r="D25" s="159" t="s">
        <v>53</v>
      </c>
      <c r="E25" s="159" t="s">
        <v>54</v>
      </c>
      <c r="F25" s="159" t="s">
        <v>22</v>
      </c>
      <c r="G25" s="159"/>
      <c r="H25" s="160"/>
    </row>
    <row r="26" spans="2:8" s="141" customFormat="1" ht="49.9" customHeight="1">
      <c r="B26" s="158">
        <v>46135</v>
      </c>
      <c r="C26" s="159" t="s">
        <v>51</v>
      </c>
      <c r="D26" s="159" t="s">
        <v>55</v>
      </c>
      <c r="E26" s="159" t="s">
        <v>56</v>
      </c>
      <c r="F26" s="159" t="s">
        <v>22</v>
      </c>
      <c r="G26" s="159"/>
      <c r="H26" s="160"/>
    </row>
    <row r="27" spans="2:8" ht="49.9" customHeight="1">
      <c r="B27" s="158">
        <v>46140</v>
      </c>
      <c r="C27" s="159" t="s">
        <v>57</v>
      </c>
      <c r="D27" s="159" t="s">
        <v>58</v>
      </c>
      <c r="E27" s="159" t="s">
        <v>59</v>
      </c>
      <c r="F27" s="159" t="s">
        <v>22</v>
      </c>
      <c r="G27" s="159"/>
      <c r="H27" s="160"/>
    </row>
    <row r="28" spans="2:8" ht="49.9" customHeight="1">
      <c r="B28" s="158"/>
      <c r="C28" s="159"/>
      <c r="D28" s="159"/>
      <c r="E28" s="159"/>
      <c r="F28" s="159"/>
      <c r="G28" s="159"/>
      <c r="H28" s="160"/>
    </row>
    <row r="29" spans="2:8" ht="49.9" customHeight="1">
      <c r="B29" s="161"/>
      <c r="C29" s="162"/>
      <c r="D29" s="162"/>
      <c r="E29" s="162"/>
      <c r="F29" s="162"/>
      <c r="G29" s="162"/>
      <c r="H29" s="163"/>
    </row>
    <row r="30" spans="2:8" ht="44.45" customHeight="1">
      <c r="B30" s="164"/>
      <c r="C30" s="165"/>
      <c r="D30" s="165"/>
      <c r="E30" s="165"/>
      <c r="F30" s="165"/>
      <c r="G30" s="165"/>
      <c r="H30" s="165"/>
    </row>
    <row r="31" spans="2:8" ht="39" customHeight="1">
      <c r="B31" s="164"/>
      <c r="C31" s="165"/>
      <c r="D31" s="165"/>
      <c r="E31" s="165"/>
      <c r="F31" s="165"/>
      <c r="G31" s="165"/>
      <c r="H31" s="165"/>
    </row>
  </sheetData>
  <pageMargins left="0.37" right="0.47" top="0.5" bottom="0.38" header="0.5" footer="0.17"/>
  <pageSetup paperSize="9" orientation="landscape" horizontalDpi="96" verticalDpi="96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4" zoomScale="85" zoomScaleNormal="85" workbookViewId="0">
      <selection activeCell="A8" sqref="A8:D8"/>
    </sheetView>
  </sheetViews>
  <sheetFormatPr defaultColWidth="8.875" defaultRowHeight="13.5"/>
  <cols>
    <col min="1" max="1" width="22.5" customWidth="1"/>
    <col min="2" max="2" width="18" customWidth="1"/>
    <col min="3" max="3" width="32.5" customWidth="1"/>
  </cols>
  <sheetData>
    <row r="1" spans="1:11" ht="14.25">
      <c r="A1" s="62" t="s">
        <v>0</v>
      </c>
      <c r="B1" s="96" t="s">
        <v>60</v>
      </c>
      <c r="C1" s="96"/>
      <c r="D1" s="96"/>
      <c r="E1" s="63"/>
      <c r="F1" s="63"/>
      <c r="G1" s="63"/>
      <c r="H1" s="63"/>
      <c r="I1" s="63"/>
      <c r="J1" s="64"/>
      <c r="K1" s="63"/>
    </row>
    <row r="2" spans="1:11" ht="14.25">
      <c r="A2" s="65"/>
      <c r="B2" s="97"/>
      <c r="C2" s="97"/>
      <c r="D2" s="97"/>
      <c r="E2" s="63"/>
      <c r="F2" s="63"/>
      <c r="G2" s="63"/>
      <c r="H2" s="63"/>
      <c r="I2" s="63"/>
      <c r="J2" s="64"/>
      <c r="K2" s="63"/>
    </row>
    <row r="3" spans="1:11" ht="14.25">
      <c r="A3" s="66" t="s">
        <v>61</v>
      </c>
      <c r="B3" s="213" t="s">
        <v>62</v>
      </c>
      <c r="C3" s="213"/>
      <c r="D3" s="214"/>
      <c r="E3" s="67"/>
      <c r="F3" s="67"/>
      <c r="G3" s="67"/>
      <c r="H3" s="67"/>
      <c r="I3" s="197"/>
      <c r="J3" s="197"/>
      <c r="K3" s="197"/>
    </row>
    <row r="4" spans="1:11" ht="14.25">
      <c r="A4" s="70" t="s">
        <v>63</v>
      </c>
      <c r="B4" s="215" t="s">
        <v>64</v>
      </c>
      <c r="C4" s="216"/>
      <c r="D4" s="217"/>
      <c r="E4" s="67"/>
      <c r="F4" s="67"/>
      <c r="G4" s="67"/>
      <c r="H4" s="67"/>
      <c r="I4" s="197"/>
      <c r="J4" s="197"/>
      <c r="K4" s="197"/>
    </row>
    <row r="5" spans="1:11">
      <c r="A5" s="70" t="s">
        <v>65</v>
      </c>
      <c r="B5" s="218" t="s">
        <v>66</v>
      </c>
      <c r="C5" s="219"/>
      <c r="D5" s="220"/>
      <c r="E5" s="71"/>
      <c r="F5" s="71"/>
      <c r="G5" s="71"/>
      <c r="H5" s="71"/>
      <c r="I5" s="221"/>
      <c r="J5" s="221"/>
      <c r="K5" s="221"/>
    </row>
    <row r="6" spans="1:11" ht="14.25">
      <c r="A6" s="73" t="s">
        <v>67</v>
      </c>
      <c r="B6" s="74">
        <v>0</v>
      </c>
      <c r="C6" s="75" t="s">
        <v>68</v>
      </c>
      <c r="D6" s="76">
        <v>11</v>
      </c>
      <c r="E6" s="68"/>
      <c r="F6" s="68"/>
      <c r="G6" s="68"/>
      <c r="H6" s="68"/>
      <c r="I6" s="197"/>
      <c r="J6" s="197"/>
      <c r="K6" s="197"/>
    </row>
    <row r="7" spans="1:11" ht="14.25">
      <c r="A7" s="77" t="s">
        <v>69</v>
      </c>
      <c r="B7" s="78">
        <v>0</v>
      </c>
      <c r="C7" s="79" t="s">
        <v>70</v>
      </c>
      <c r="D7" s="80">
        <f>COUNTA(A12:A42)-8</f>
        <v>23</v>
      </c>
      <c r="E7" s="81"/>
      <c r="F7" s="81"/>
      <c r="G7" s="81"/>
      <c r="H7" s="81"/>
      <c r="I7" s="197"/>
      <c r="J7" s="197"/>
      <c r="K7" s="197"/>
    </row>
    <row r="8" spans="1:11" ht="14.25">
      <c r="A8" s="198"/>
      <c r="B8" s="198"/>
      <c r="C8" s="198"/>
      <c r="D8" s="198"/>
      <c r="E8" s="68"/>
      <c r="F8" s="68"/>
      <c r="G8" s="68"/>
      <c r="H8" s="68"/>
      <c r="I8" s="68"/>
      <c r="J8" s="82"/>
      <c r="K8" s="82"/>
    </row>
    <row r="9" spans="1:1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</row>
    <row r="10" spans="1:1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</row>
    <row r="11" spans="1:1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1">
      <c r="A12" s="188" t="s">
        <v>79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90"/>
    </row>
    <row r="13" spans="1:11" ht="63.75">
      <c r="A13" s="86" t="s">
        <v>80</v>
      </c>
      <c r="B13" s="88" t="s">
        <v>81</v>
      </c>
      <c r="C13" s="88" t="s">
        <v>82</v>
      </c>
      <c r="D13" s="191" t="s">
        <v>83</v>
      </c>
      <c r="E13" s="180"/>
      <c r="F13" s="180"/>
      <c r="G13" s="181"/>
      <c r="H13" s="90"/>
      <c r="I13" s="92"/>
      <c r="J13" s="88" t="s">
        <v>68</v>
      </c>
      <c r="K13" s="88"/>
    </row>
    <row r="14" spans="1:11">
      <c r="A14" s="188" t="s">
        <v>84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90"/>
    </row>
    <row r="15" spans="1:11" ht="63.75">
      <c r="A15" s="98" t="s">
        <v>85</v>
      </c>
      <c r="B15" s="98" t="s">
        <v>86</v>
      </c>
      <c r="C15" s="98" t="s">
        <v>87</v>
      </c>
      <c r="D15" s="192" t="s">
        <v>88</v>
      </c>
      <c r="E15" s="193"/>
      <c r="F15" s="193"/>
      <c r="G15" s="194"/>
      <c r="H15" s="99"/>
      <c r="I15" s="99"/>
      <c r="J15" s="100" t="s">
        <v>68</v>
      </c>
      <c r="K15" s="99"/>
    </row>
    <row r="16" spans="1:11">
      <c r="A16" s="188" t="s">
        <v>89</v>
      </c>
      <c r="B16" s="189"/>
      <c r="C16" s="189"/>
      <c r="D16" s="84"/>
      <c r="E16" s="84"/>
      <c r="F16" s="84"/>
      <c r="G16" s="84"/>
      <c r="H16" s="84"/>
      <c r="I16" s="84"/>
      <c r="J16" s="84"/>
      <c r="K16" s="85"/>
    </row>
    <row r="17" spans="1:11">
      <c r="A17" s="86" t="s">
        <v>90</v>
      </c>
      <c r="B17" s="94" t="s">
        <v>91</v>
      </c>
      <c r="C17" s="94" t="s">
        <v>92</v>
      </c>
      <c r="D17" s="191" t="s">
        <v>93</v>
      </c>
      <c r="E17" s="195"/>
      <c r="F17" s="195"/>
      <c r="G17" s="196"/>
      <c r="H17" s="90"/>
      <c r="I17" s="89"/>
      <c r="J17" s="88" t="s">
        <v>68</v>
      </c>
      <c r="K17" s="88"/>
    </row>
    <row r="18" spans="1:11">
      <c r="A18" s="188" t="s">
        <v>94</v>
      </c>
      <c r="B18" s="189"/>
      <c r="C18" s="189"/>
      <c r="D18" s="84"/>
      <c r="E18" s="84"/>
      <c r="F18" s="84"/>
      <c r="G18" s="84"/>
      <c r="H18" s="84"/>
      <c r="I18" s="84"/>
      <c r="J18" s="84"/>
      <c r="K18" s="85"/>
    </row>
    <row r="19" spans="1:11" ht="38.25">
      <c r="A19" s="86" t="s">
        <v>95</v>
      </c>
      <c r="B19" s="88" t="s">
        <v>96</v>
      </c>
      <c r="C19" s="88" t="s">
        <v>97</v>
      </c>
      <c r="D19" s="179" t="s">
        <v>98</v>
      </c>
      <c r="E19" s="180"/>
      <c r="F19" s="180"/>
      <c r="G19" s="181"/>
      <c r="H19" s="90"/>
      <c r="I19" s="89"/>
      <c r="J19" s="88" t="s">
        <v>68</v>
      </c>
      <c r="K19" s="88"/>
    </row>
    <row r="20" spans="1:11">
      <c r="A20" s="188" t="s">
        <v>99</v>
      </c>
      <c r="B20" s="189"/>
      <c r="C20" s="189"/>
      <c r="D20" s="84"/>
      <c r="E20" s="84"/>
      <c r="F20" s="84"/>
      <c r="G20" s="84"/>
      <c r="H20" s="84"/>
      <c r="I20" s="84"/>
      <c r="J20" s="84"/>
      <c r="K20" s="85"/>
    </row>
    <row r="21" spans="1:11" ht="63.75">
      <c r="A21" s="86" t="s">
        <v>100</v>
      </c>
      <c r="B21" s="88" t="s">
        <v>101</v>
      </c>
      <c r="C21" s="88" t="s">
        <v>102</v>
      </c>
      <c r="D21" s="179" t="s">
        <v>103</v>
      </c>
      <c r="E21" s="180"/>
      <c r="F21" s="180"/>
      <c r="G21" s="181"/>
      <c r="H21" s="90"/>
      <c r="I21" s="89"/>
      <c r="J21" s="88" t="s">
        <v>68</v>
      </c>
      <c r="K21" s="88"/>
    </row>
    <row r="22" spans="1:11" ht="51">
      <c r="A22" s="86" t="s">
        <v>104</v>
      </c>
      <c r="B22" s="88" t="s">
        <v>105</v>
      </c>
      <c r="C22" s="88" t="s">
        <v>106</v>
      </c>
      <c r="D22" s="179" t="s">
        <v>107</v>
      </c>
      <c r="E22" s="180"/>
      <c r="F22" s="180"/>
      <c r="G22" s="181"/>
      <c r="H22" s="88"/>
      <c r="I22" s="88"/>
      <c r="J22" s="88" t="s">
        <v>68</v>
      </c>
      <c r="K22" s="88"/>
    </row>
    <row r="23" spans="1:11">
      <c r="A23" s="188" t="s">
        <v>108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90"/>
    </row>
    <row r="24" spans="1:11" ht="66.95" customHeight="1">
      <c r="A24" s="86" t="s">
        <v>109</v>
      </c>
      <c r="B24" s="88" t="s">
        <v>110</v>
      </c>
      <c r="C24" s="88" t="s">
        <v>111</v>
      </c>
      <c r="D24" s="179" t="s">
        <v>112</v>
      </c>
      <c r="E24" s="180"/>
      <c r="F24" s="180"/>
      <c r="G24" s="181"/>
      <c r="H24" s="88"/>
      <c r="I24" s="88"/>
      <c r="J24" s="88" t="s">
        <v>68</v>
      </c>
      <c r="K24" s="88"/>
    </row>
    <row r="25" spans="1:11" ht="99" customHeight="1">
      <c r="A25" s="86" t="s">
        <v>113</v>
      </c>
      <c r="B25" s="88" t="s">
        <v>114</v>
      </c>
      <c r="C25" s="88" t="s">
        <v>115</v>
      </c>
      <c r="D25" s="179" t="s">
        <v>116</v>
      </c>
      <c r="E25" s="180"/>
      <c r="F25" s="180"/>
      <c r="G25" s="181"/>
      <c r="H25" s="88"/>
      <c r="I25" s="88"/>
      <c r="J25" s="88" t="s">
        <v>68</v>
      </c>
      <c r="K25" s="88"/>
    </row>
    <row r="26" spans="1:11">
      <c r="A26" s="188" t="s">
        <v>117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90"/>
    </row>
    <row r="27" spans="1:11" s="133" customFormat="1" ht="63.75">
      <c r="A27" s="86" t="s">
        <v>118</v>
      </c>
      <c r="B27" s="88" t="s">
        <v>119</v>
      </c>
      <c r="C27" s="88" t="s">
        <v>120</v>
      </c>
      <c r="D27" s="179" t="s">
        <v>121</v>
      </c>
      <c r="E27" s="180"/>
      <c r="F27" s="180"/>
      <c r="G27" s="181"/>
      <c r="H27" s="88"/>
      <c r="I27" s="88"/>
      <c r="J27" s="88" t="s">
        <v>68</v>
      </c>
      <c r="K27" s="88"/>
    </row>
    <row r="28" spans="1:11" ht="25.5">
      <c r="A28" s="134" t="s">
        <v>122</v>
      </c>
      <c r="B28" s="88" t="s">
        <v>123</v>
      </c>
      <c r="C28" s="88" t="s">
        <v>124</v>
      </c>
      <c r="D28" s="179" t="s">
        <v>125</v>
      </c>
      <c r="E28" s="180"/>
      <c r="F28" s="180"/>
      <c r="G28" s="181"/>
      <c r="H28" s="88"/>
      <c r="I28" s="88"/>
      <c r="J28" s="88" t="s">
        <v>68</v>
      </c>
      <c r="K28" s="88"/>
    </row>
    <row r="29" spans="1:11" ht="25.5">
      <c r="A29" s="86" t="s">
        <v>126</v>
      </c>
      <c r="B29" s="91" t="s">
        <v>127</v>
      </c>
      <c r="C29" s="88" t="s">
        <v>128</v>
      </c>
      <c r="D29" s="179" t="s">
        <v>129</v>
      </c>
      <c r="E29" s="180"/>
      <c r="F29" s="180"/>
      <c r="G29" s="181"/>
      <c r="H29" s="135"/>
      <c r="I29" s="135"/>
      <c r="J29" s="88" t="s">
        <v>68</v>
      </c>
      <c r="K29" s="135"/>
    </row>
    <row r="30" spans="1:11">
      <c r="A30" s="182" t="s">
        <v>130</v>
      </c>
      <c r="B30" s="183"/>
      <c r="C30" s="183"/>
      <c r="D30" s="183"/>
      <c r="E30" s="183"/>
      <c r="F30" s="183"/>
      <c r="G30" s="183"/>
      <c r="H30" s="183"/>
      <c r="I30" s="183"/>
      <c r="J30" s="183"/>
      <c r="K30" s="184"/>
    </row>
    <row r="31" spans="1:11" ht="102">
      <c r="A31" s="86" t="s">
        <v>80</v>
      </c>
      <c r="B31" s="88" t="s">
        <v>131</v>
      </c>
      <c r="C31" s="88" t="s">
        <v>132</v>
      </c>
      <c r="D31" s="177" t="s">
        <v>133</v>
      </c>
      <c r="E31" s="178"/>
      <c r="F31" s="178"/>
      <c r="G31" s="178"/>
      <c r="H31" s="88"/>
      <c r="I31" s="121"/>
      <c r="J31" s="88" t="s">
        <v>68</v>
      </c>
      <c r="K31" s="88"/>
    </row>
    <row r="32" spans="1:11" ht="51">
      <c r="A32" s="136" t="s">
        <v>85</v>
      </c>
      <c r="B32" s="136" t="s">
        <v>134</v>
      </c>
      <c r="C32" s="137" t="s">
        <v>135</v>
      </c>
      <c r="D32" s="185" t="s">
        <v>136</v>
      </c>
      <c r="E32" s="186"/>
      <c r="F32" s="186"/>
      <c r="G32" s="187"/>
      <c r="H32" s="137"/>
      <c r="I32" s="137"/>
      <c r="J32" s="136" t="s">
        <v>68</v>
      </c>
      <c r="K32" s="136"/>
    </row>
    <row r="33" spans="1:11" ht="51">
      <c r="A33" s="86" t="s">
        <v>90</v>
      </c>
      <c r="B33" s="88" t="s">
        <v>137</v>
      </c>
      <c r="C33" s="88" t="s">
        <v>138</v>
      </c>
      <c r="D33" s="177" t="s">
        <v>139</v>
      </c>
      <c r="E33" s="178"/>
      <c r="F33" s="178"/>
      <c r="G33" s="178"/>
      <c r="H33" s="88"/>
      <c r="I33" s="121"/>
      <c r="J33" s="88" t="s">
        <v>68</v>
      </c>
      <c r="K33" s="88"/>
    </row>
    <row r="34" spans="1:11" ht="63.75">
      <c r="A34" s="86" t="s">
        <v>95</v>
      </c>
      <c r="B34" s="88" t="s">
        <v>140</v>
      </c>
      <c r="C34" s="88" t="s">
        <v>141</v>
      </c>
      <c r="D34" s="177" t="s">
        <v>142</v>
      </c>
      <c r="E34" s="178"/>
      <c r="F34" s="178"/>
      <c r="G34" s="178"/>
      <c r="H34" s="88"/>
      <c r="I34" s="121"/>
      <c r="J34" s="88" t="s">
        <v>68</v>
      </c>
      <c r="K34" s="88"/>
    </row>
    <row r="35" spans="1:11" ht="51">
      <c r="A35" s="86" t="s">
        <v>100</v>
      </c>
      <c r="B35" s="88" t="s">
        <v>143</v>
      </c>
      <c r="C35" s="88" t="s">
        <v>144</v>
      </c>
      <c r="D35" s="177" t="s">
        <v>145</v>
      </c>
      <c r="E35" s="178"/>
      <c r="F35" s="178"/>
      <c r="G35" s="178"/>
      <c r="H35" s="88"/>
      <c r="I35" s="121"/>
      <c r="J35" s="88" t="s">
        <v>68</v>
      </c>
      <c r="K35" s="88"/>
    </row>
    <row r="36" spans="1:11" ht="63.75">
      <c r="A36" s="86" t="s">
        <v>104</v>
      </c>
      <c r="B36" s="88" t="s">
        <v>146</v>
      </c>
      <c r="C36" s="88" t="s">
        <v>147</v>
      </c>
      <c r="D36" s="177" t="s">
        <v>148</v>
      </c>
      <c r="E36" s="178"/>
      <c r="F36" s="178"/>
      <c r="G36" s="178"/>
      <c r="H36" s="88"/>
      <c r="I36" s="121"/>
      <c r="J36" s="88" t="s">
        <v>68</v>
      </c>
      <c r="K36" s="88"/>
    </row>
    <row r="37" spans="1:11" ht="63.75">
      <c r="A37" s="134" t="s">
        <v>109</v>
      </c>
      <c r="B37" s="94" t="s">
        <v>149</v>
      </c>
      <c r="C37" s="94" t="s">
        <v>150</v>
      </c>
      <c r="D37" s="175" t="s">
        <v>151</v>
      </c>
      <c r="E37" s="176"/>
      <c r="F37" s="176"/>
      <c r="G37" s="176"/>
      <c r="H37" s="94"/>
      <c r="I37" s="138"/>
      <c r="J37" s="94" t="s">
        <v>68</v>
      </c>
      <c r="K37" s="94"/>
    </row>
    <row r="38" spans="1:11" ht="63.75">
      <c r="A38" s="134" t="s">
        <v>113</v>
      </c>
      <c r="B38" s="94" t="s">
        <v>152</v>
      </c>
      <c r="C38" s="94" t="s">
        <v>153</v>
      </c>
      <c r="D38" s="175" t="s">
        <v>154</v>
      </c>
      <c r="E38" s="176"/>
      <c r="F38" s="176"/>
      <c r="G38" s="176"/>
      <c r="H38" s="94"/>
      <c r="I38" s="138"/>
      <c r="J38" s="94" t="s">
        <v>68</v>
      </c>
      <c r="K38" s="94"/>
    </row>
    <row r="39" spans="1:11" ht="76.5">
      <c r="A39" s="86" t="s">
        <v>118</v>
      </c>
      <c r="B39" s="88" t="s">
        <v>155</v>
      </c>
      <c r="C39" s="88" t="s">
        <v>156</v>
      </c>
      <c r="D39" s="177" t="s">
        <v>157</v>
      </c>
      <c r="E39" s="178"/>
      <c r="F39" s="178"/>
      <c r="G39" s="178"/>
      <c r="H39" s="88"/>
      <c r="I39" s="121"/>
      <c r="J39" s="88" t="s">
        <v>68</v>
      </c>
      <c r="K39" s="88"/>
    </row>
    <row r="40" spans="1:11" ht="63.75">
      <c r="A40" s="86" t="s">
        <v>122</v>
      </c>
      <c r="B40" s="88" t="s">
        <v>158</v>
      </c>
      <c r="C40" s="88" t="s">
        <v>159</v>
      </c>
      <c r="D40" s="177" t="s">
        <v>160</v>
      </c>
      <c r="E40" s="178"/>
      <c r="F40" s="178"/>
      <c r="G40" s="178"/>
      <c r="H40" s="88"/>
      <c r="I40" s="121"/>
      <c r="J40" s="88" t="s">
        <v>68</v>
      </c>
      <c r="K40" s="88"/>
    </row>
    <row r="41" spans="1:11" ht="63.75">
      <c r="A41" s="86" t="s">
        <v>126</v>
      </c>
      <c r="B41" s="88" t="s">
        <v>158</v>
      </c>
      <c r="C41" s="88" t="s">
        <v>159</v>
      </c>
      <c r="D41" s="177" t="s">
        <v>160</v>
      </c>
      <c r="E41" s="178"/>
      <c r="F41" s="178"/>
      <c r="G41" s="178"/>
      <c r="H41" s="88"/>
      <c r="I41" s="121"/>
      <c r="J41" s="88" t="s">
        <v>68</v>
      </c>
      <c r="K41" s="88"/>
    </row>
    <row r="42" spans="1:11" ht="76.5">
      <c r="A42" s="86" t="s">
        <v>161</v>
      </c>
      <c r="B42" s="88" t="s">
        <v>162</v>
      </c>
      <c r="C42" s="88" t="s">
        <v>163</v>
      </c>
      <c r="D42" s="177" t="s">
        <v>164</v>
      </c>
      <c r="E42" s="178"/>
      <c r="F42" s="178"/>
      <c r="G42" s="178"/>
      <c r="H42" s="88"/>
      <c r="I42" s="121"/>
      <c r="J42" s="88" t="s">
        <v>68</v>
      </c>
      <c r="K42" s="88"/>
    </row>
  </sheetData>
  <mergeCells count="49">
    <mergeCell ref="B3:D3"/>
    <mergeCell ref="I3:K3"/>
    <mergeCell ref="B4:D4"/>
    <mergeCell ref="I4:K4"/>
    <mergeCell ref="B5:D5"/>
    <mergeCell ref="I5:K5"/>
    <mergeCell ref="I6:K6"/>
    <mergeCell ref="I7:K7"/>
    <mergeCell ref="A8:D8"/>
    <mergeCell ref="A11:K11"/>
    <mergeCell ref="A12:K12"/>
    <mergeCell ref="A9:A10"/>
    <mergeCell ref="B9:B10"/>
    <mergeCell ref="C9:C10"/>
    <mergeCell ref="H9:H10"/>
    <mergeCell ref="I9:I10"/>
    <mergeCell ref="J9:J10"/>
    <mergeCell ref="K9:K10"/>
    <mergeCell ref="D9:G10"/>
    <mergeCell ref="D13:G13"/>
    <mergeCell ref="A14:K14"/>
    <mergeCell ref="D15:G15"/>
    <mergeCell ref="A16:C16"/>
    <mergeCell ref="D17:G17"/>
    <mergeCell ref="A18:C18"/>
    <mergeCell ref="D19:G19"/>
    <mergeCell ref="A20:C20"/>
    <mergeCell ref="D21:G21"/>
    <mergeCell ref="D22:G22"/>
    <mergeCell ref="A23:K23"/>
    <mergeCell ref="D24:G24"/>
    <mergeCell ref="D25:G25"/>
    <mergeCell ref="A26:K26"/>
    <mergeCell ref="D27:G27"/>
    <mergeCell ref="D28:G28"/>
    <mergeCell ref="D29:G29"/>
    <mergeCell ref="A30:K30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D40:G40"/>
    <mergeCell ref="D41:G41"/>
    <mergeCell ref="D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D7" sqref="D7"/>
    </sheetView>
  </sheetViews>
  <sheetFormatPr defaultColWidth="8.875" defaultRowHeight="13.5"/>
  <cols>
    <col min="1" max="1" width="15.125" customWidth="1"/>
    <col min="2" max="2" width="37.875" customWidth="1"/>
    <col min="3" max="3" width="60.875" customWidth="1"/>
  </cols>
  <sheetData>
    <row r="1" spans="1:11" ht="14.25">
      <c r="A1" s="62" t="s">
        <v>0</v>
      </c>
      <c r="B1" s="96" t="s">
        <v>165</v>
      </c>
      <c r="C1" s="96"/>
      <c r="D1" s="96"/>
    </row>
    <row r="2" spans="1:11" ht="14.25">
      <c r="A2" s="65"/>
      <c r="B2" s="97"/>
      <c r="C2" s="97"/>
      <c r="D2" s="97"/>
    </row>
    <row r="3" spans="1:11" ht="14.25">
      <c r="A3" s="66" t="s">
        <v>61</v>
      </c>
      <c r="B3" s="213" t="s">
        <v>62</v>
      </c>
      <c r="C3" s="213"/>
      <c r="D3" s="214"/>
    </row>
    <row r="4" spans="1:11">
      <c r="A4" s="70" t="s">
        <v>63</v>
      </c>
      <c r="B4" s="215" t="s">
        <v>166</v>
      </c>
      <c r="C4" s="216"/>
      <c r="D4" s="217"/>
    </row>
    <row r="5" spans="1:11" ht="25.5">
      <c r="A5" s="70" t="s">
        <v>65</v>
      </c>
      <c r="B5" s="218" t="s">
        <v>66</v>
      </c>
      <c r="C5" s="219"/>
      <c r="D5" s="220"/>
    </row>
    <row r="6" spans="1:11" ht="14.25">
      <c r="A6" s="73" t="s">
        <v>67</v>
      </c>
      <c r="B6" s="74">
        <v>0</v>
      </c>
      <c r="C6" s="75" t="s">
        <v>68</v>
      </c>
      <c r="D6" s="76">
        <v>10</v>
      </c>
    </row>
    <row r="7" spans="1:11" ht="14.25">
      <c r="A7" s="77" t="s">
        <v>69</v>
      </c>
      <c r="B7" s="78">
        <v>0</v>
      </c>
      <c r="C7" s="79" t="s">
        <v>70</v>
      </c>
      <c r="D7" s="80">
        <v>10</v>
      </c>
    </row>
    <row r="9" spans="1:1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</row>
    <row r="10" spans="1:1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</row>
    <row r="11" spans="1:1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1">
      <c r="A12" s="188" t="s">
        <v>167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90"/>
    </row>
    <row r="13" spans="1:11" ht="90" customHeight="1">
      <c r="A13" s="86" t="s">
        <v>80</v>
      </c>
      <c r="B13" s="127" t="s">
        <v>168</v>
      </c>
      <c r="C13" s="88" t="s">
        <v>169</v>
      </c>
      <c r="D13" s="191" t="s">
        <v>170</v>
      </c>
      <c r="E13" s="180"/>
      <c r="F13" s="180"/>
      <c r="G13" s="181"/>
      <c r="H13" s="90"/>
      <c r="I13" s="92"/>
      <c r="J13" s="88" t="s">
        <v>68</v>
      </c>
      <c r="K13" s="88"/>
    </row>
    <row r="14" spans="1:11" ht="93" customHeight="1">
      <c r="A14" s="86" t="s">
        <v>85</v>
      </c>
      <c r="B14" s="88" t="s">
        <v>171</v>
      </c>
      <c r="C14" s="88" t="s">
        <v>172</v>
      </c>
      <c r="D14" s="191" t="s">
        <v>173</v>
      </c>
      <c r="E14" s="180"/>
      <c r="F14" s="180"/>
      <c r="G14" s="181"/>
      <c r="H14" s="90"/>
      <c r="I14" s="92"/>
      <c r="J14" s="88" t="s">
        <v>68</v>
      </c>
      <c r="K14" s="88"/>
    </row>
    <row r="15" spans="1:11" ht="63.95" customHeight="1">
      <c r="A15" s="86" t="s">
        <v>90</v>
      </c>
      <c r="B15" s="88" t="s">
        <v>174</v>
      </c>
      <c r="C15" s="88" t="s">
        <v>175</v>
      </c>
      <c r="D15" s="191" t="s">
        <v>176</v>
      </c>
      <c r="E15" s="180"/>
      <c r="F15" s="180"/>
      <c r="G15" s="181"/>
      <c r="H15" s="90"/>
      <c r="I15" s="92"/>
      <c r="J15" s="88" t="s">
        <v>68</v>
      </c>
      <c r="K15" s="88"/>
    </row>
    <row r="16" spans="1:11" ht="38.25">
      <c r="A16" s="86" t="s">
        <v>95</v>
      </c>
      <c r="B16" s="88" t="s">
        <v>177</v>
      </c>
      <c r="C16" s="88" t="s">
        <v>178</v>
      </c>
      <c r="D16" s="191" t="s">
        <v>179</v>
      </c>
      <c r="E16" s="180"/>
      <c r="F16" s="180"/>
      <c r="G16" s="181"/>
      <c r="H16" s="90"/>
      <c r="I16" s="92"/>
      <c r="J16" s="88" t="s">
        <v>68</v>
      </c>
      <c r="K16" s="88"/>
    </row>
    <row r="17" spans="1:11" ht="38.25">
      <c r="A17" s="86" t="s">
        <v>100</v>
      </c>
      <c r="B17" s="88" t="s">
        <v>180</v>
      </c>
      <c r="C17" s="88" t="s">
        <v>181</v>
      </c>
      <c r="D17" s="191" t="s">
        <v>182</v>
      </c>
      <c r="E17" s="180"/>
      <c r="F17" s="180"/>
      <c r="G17" s="181"/>
      <c r="H17" s="90"/>
      <c r="I17" s="92"/>
      <c r="J17" s="88" t="s">
        <v>68</v>
      </c>
      <c r="K17" s="88"/>
    </row>
    <row r="18" spans="1:11" ht="75.95" customHeight="1">
      <c r="A18" s="86" t="s">
        <v>104</v>
      </c>
      <c r="B18" s="88" t="s">
        <v>183</v>
      </c>
      <c r="C18" s="88" t="s">
        <v>184</v>
      </c>
      <c r="D18" s="191" t="s">
        <v>185</v>
      </c>
      <c r="E18" s="180"/>
      <c r="F18" s="180"/>
      <c r="G18" s="181"/>
      <c r="H18" s="90"/>
      <c r="I18" s="92"/>
      <c r="J18" s="88" t="s">
        <v>68</v>
      </c>
      <c r="K18" s="88"/>
    </row>
    <row r="19" spans="1:11" ht="72" customHeight="1">
      <c r="A19" s="86" t="s">
        <v>109</v>
      </c>
      <c r="B19" s="88" t="s">
        <v>186</v>
      </c>
      <c r="C19" s="88" t="s">
        <v>187</v>
      </c>
      <c r="D19" s="191" t="s">
        <v>188</v>
      </c>
      <c r="E19" s="180"/>
      <c r="F19" s="180"/>
      <c r="G19" s="181"/>
      <c r="H19" s="90"/>
      <c r="I19" s="92"/>
      <c r="J19" s="88" t="s">
        <v>68</v>
      </c>
      <c r="K19" s="88"/>
    </row>
    <row r="20" spans="1:11">
      <c r="A20" s="188" t="s">
        <v>189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90"/>
    </row>
    <row r="21" spans="1:11" ht="41.1" customHeight="1">
      <c r="A21" s="86" t="s">
        <v>113</v>
      </c>
      <c r="B21" s="128" t="s">
        <v>190</v>
      </c>
      <c r="C21" s="88" t="s">
        <v>191</v>
      </c>
      <c r="D21" s="191" t="s">
        <v>192</v>
      </c>
      <c r="E21" s="180"/>
      <c r="F21" s="180"/>
      <c r="G21" s="181"/>
      <c r="H21" s="90"/>
      <c r="I21" s="92"/>
      <c r="J21" s="88" t="s">
        <v>68</v>
      </c>
      <c r="K21" s="88"/>
    </row>
    <row r="22" spans="1:11" ht="41.1" customHeight="1">
      <c r="A22" s="86" t="s">
        <v>118</v>
      </c>
      <c r="B22" s="128" t="s">
        <v>193</v>
      </c>
      <c r="C22" s="88" t="s">
        <v>194</v>
      </c>
      <c r="D22" s="191" t="s">
        <v>195</v>
      </c>
      <c r="E22" s="180"/>
      <c r="F22" s="180"/>
      <c r="G22" s="181"/>
      <c r="H22" s="90"/>
      <c r="I22" s="92"/>
      <c r="J22" s="88" t="s">
        <v>68</v>
      </c>
      <c r="K22" s="88"/>
    </row>
    <row r="23" spans="1:11" ht="41.1" customHeight="1">
      <c r="A23" s="86" t="s">
        <v>122</v>
      </c>
      <c r="B23" s="128" t="s">
        <v>196</v>
      </c>
      <c r="C23" s="88" t="s">
        <v>197</v>
      </c>
      <c r="D23" s="191" t="s">
        <v>198</v>
      </c>
      <c r="E23" s="180"/>
      <c r="F23" s="180"/>
      <c r="G23" s="181"/>
      <c r="H23" s="90"/>
      <c r="I23" s="92"/>
      <c r="J23" s="88" t="s">
        <v>68</v>
      </c>
      <c r="K23" s="88"/>
    </row>
    <row r="24" spans="1:11">
      <c r="A24" s="222"/>
      <c r="B24" s="222"/>
      <c r="C24" s="222"/>
      <c r="D24" s="222"/>
      <c r="E24" s="222"/>
      <c r="F24" s="222"/>
      <c r="G24" s="222"/>
      <c r="H24" s="222"/>
      <c r="I24" s="222"/>
      <c r="J24" s="222"/>
      <c r="K24" s="222"/>
    </row>
    <row r="25" spans="1:11" ht="35.1" customHeight="1">
      <c r="A25" s="129"/>
      <c r="B25" s="130"/>
      <c r="C25" s="131"/>
      <c r="D25" s="223"/>
      <c r="E25" s="224"/>
      <c r="F25" s="224"/>
      <c r="G25" s="224"/>
      <c r="H25" s="131"/>
      <c r="I25" s="132"/>
      <c r="J25" s="131"/>
      <c r="K25" s="131"/>
    </row>
    <row r="26" spans="1:11" ht="36.950000000000003" customHeight="1">
      <c r="A26" s="129"/>
      <c r="B26" s="130"/>
      <c r="C26" s="131"/>
      <c r="D26" s="223"/>
      <c r="E26" s="224"/>
      <c r="F26" s="224"/>
      <c r="G26" s="224"/>
      <c r="H26" s="131"/>
      <c r="I26" s="132"/>
      <c r="J26" s="131"/>
      <c r="K26" s="131"/>
    </row>
    <row r="27" spans="1:11" ht="48" customHeight="1">
      <c r="A27" s="129"/>
      <c r="B27" s="130"/>
      <c r="C27" s="131"/>
      <c r="D27" s="223"/>
      <c r="E27" s="224"/>
      <c r="F27" s="224"/>
      <c r="G27" s="224"/>
      <c r="H27" s="131"/>
      <c r="I27" s="132"/>
      <c r="J27" s="131"/>
      <c r="K27" s="131"/>
    </row>
  </sheetData>
  <mergeCells count="28">
    <mergeCell ref="B3:D3"/>
    <mergeCell ref="B4:D4"/>
    <mergeCell ref="B5:D5"/>
    <mergeCell ref="A11:K11"/>
    <mergeCell ref="A12:K12"/>
    <mergeCell ref="A9:A10"/>
    <mergeCell ref="B9:B10"/>
    <mergeCell ref="C9:C10"/>
    <mergeCell ref="H9:H10"/>
    <mergeCell ref="I9:I10"/>
    <mergeCell ref="J9:J10"/>
    <mergeCell ref="K9:K10"/>
    <mergeCell ref="D9:G10"/>
    <mergeCell ref="D13:G13"/>
    <mergeCell ref="D14:G14"/>
    <mergeCell ref="D15:G15"/>
    <mergeCell ref="D16:G16"/>
    <mergeCell ref="D17:G17"/>
    <mergeCell ref="D18:G18"/>
    <mergeCell ref="D19:G19"/>
    <mergeCell ref="A20:K20"/>
    <mergeCell ref="D21:G21"/>
    <mergeCell ref="D22:G22"/>
    <mergeCell ref="D23:G23"/>
    <mergeCell ref="A24:K24"/>
    <mergeCell ref="D25:G25"/>
    <mergeCell ref="D26:G26"/>
    <mergeCell ref="D27:G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D7" sqref="D7"/>
    </sheetView>
  </sheetViews>
  <sheetFormatPr defaultColWidth="8.875" defaultRowHeight="13.5"/>
  <cols>
    <col min="1" max="1" width="26.25" customWidth="1"/>
    <col min="2" max="2" width="26.5" customWidth="1"/>
    <col min="3" max="3" width="39.5" customWidth="1"/>
    <col min="4" max="4" width="24.25" customWidth="1"/>
  </cols>
  <sheetData>
    <row r="1" spans="1:11" ht="14.25">
      <c r="A1" s="62" t="s">
        <v>0</v>
      </c>
      <c r="B1" s="96" t="s">
        <v>199</v>
      </c>
      <c r="C1" s="96"/>
      <c r="D1" s="96"/>
    </row>
    <row r="2" spans="1:11" ht="14.25">
      <c r="A2" s="65"/>
      <c r="B2" s="97"/>
      <c r="C2" s="97"/>
      <c r="D2" s="97"/>
    </row>
    <row r="3" spans="1:11" ht="14.25">
      <c r="A3" s="66" t="s">
        <v>61</v>
      </c>
      <c r="B3" s="213" t="s">
        <v>62</v>
      </c>
      <c r="C3" s="213"/>
      <c r="D3" s="214"/>
    </row>
    <row r="4" spans="1:11">
      <c r="A4" s="70" t="s">
        <v>63</v>
      </c>
      <c r="B4" s="215" t="s">
        <v>200</v>
      </c>
      <c r="C4" s="216"/>
      <c r="D4" s="217"/>
    </row>
    <row r="5" spans="1:11">
      <c r="A5" s="70" t="s">
        <v>65</v>
      </c>
      <c r="B5" s="218" t="s">
        <v>66</v>
      </c>
      <c r="C5" s="219"/>
      <c r="D5" s="220"/>
    </row>
    <row r="6" spans="1:11" ht="14.25">
      <c r="A6" s="73" t="s">
        <v>67</v>
      </c>
      <c r="B6" s="74">
        <v>0</v>
      </c>
      <c r="C6" s="75" t="s">
        <v>68</v>
      </c>
      <c r="D6" s="76">
        <v>6</v>
      </c>
    </row>
    <row r="7" spans="1:11" ht="14.25">
      <c r="A7" s="77" t="s">
        <v>69</v>
      </c>
      <c r="B7" s="78">
        <v>0</v>
      </c>
      <c r="C7" s="79" t="s">
        <v>70</v>
      </c>
      <c r="D7" s="80">
        <v>6</v>
      </c>
    </row>
    <row r="9" spans="1:1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</row>
    <row r="10" spans="1:1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</row>
    <row r="11" spans="1:1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1">
      <c r="A12" s="188" t="s">
        <v>201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90"/>
    </row>
    <row r="13" spans="1:11" ht="93" customHeight="1">
      <c r="A13" s="86" t="s">
        <v>80</v>
      </c>
      <c r="B13" s="88" t="s">
        <v>202</v>
      </c>
      <c r="C13" s="88" t="s">
        <v>203</v>
      </c>
      <c r="D13" s="191" t="s">
        <v>204</v>
      </c>
      <c r="E13" s="180"/>
      <c r="F13" s="180"/>
      <c r="G13" s="181"/>
      <c r="H13" s="90"/>
      <c r="I13" s="92"/>
      <c r="J13" s="88" t="s">
        <v>68</v>
      </c>
      <c r="K13" s="88"/>
    </row>
    <row r="14" spans="1:11" ht="36.950000000000003" customHeight="1">
      <c r="A14" s="86" t="s">
        <v>85</v>
      </c>
      <c r="B14" s="88" t="s">
        <v>205</v>
      </c>
      <c r="C14" s="88" t="s">
        <v>206</v>
      </c>
      <c r="D14" s="191" t="s">
        <v>207</v>
      </c>
      <c r="E14" s="180"/>
      <c r="F14" s="180"/>
      <c r="G14" s="181"/>
      <c r="H14" s="90"/>
      <c r="I14" s="92"/>
      <c r="J14" s="88" t="s">
        <v>68</v>
      </c>
      <c r="K14" s="88"/>
    </row>
    <row r="15" spans="1:11" ht="63.75">
      <c r="A15" s="86" t="s">
        <v>90</v>
      </c>
      <c r="B15" s="88" t="s">
        <v>208</v>
      </c>
      <c r="C15" s="88" t="s">
        <v>209</v>
      </c>
      <c r="D15" s="191" t="s">
        <v>210</v>
      </c>
      <c r="E15" s="180"/>
      <c r="F15" s="180"/>
      <c r="G15" s="181"/>
      <c r="H15" s="90"/>
      <c r="I15" s="92"/>
      <c r="J15" s="88" t="s">
        <v>68</v>
      </c>
      <c r="K15" s="88"/>
    </row>
    <row r="16" spans="1:11" ht="51">
      <c r="A16" s="86" t="s">
        <v>95</v>
      </c>
      <c r="B16" s="88" t="s">
        <v>211</v>
      </c>
      <c r="C16" s="88" t="s">
        <v>212</v>
      </c>
      <c r="D16" s="191" t="s">
        <v>213</v>
      </c>
      <c r="E16" s="180"/>
      <c r="F16" s="180"/>
      <c r="G16" s="181"/>
      <c r="H16" s="90"/>
      <c r="I16" s="92"/>
      <c r="J16" s="88" t="s">
        <v>68</v>
      </c>
      <c r="K16" s="88"/>
    </row>
    <row r="17" spans="1:11" ht="51">
      <c r="A17" s="86" t="s">
        <v>100</v>
      </c>
      <c r="B17" s="88" t="s">
        <v>214</v>
      </c>
      <c r="C17" s="88" t="s">
        <v>215</v>
      </c>
      <c r="D17" s="191" t="s">
        <v>216</v>
      </c>
      <c r="E17" s="180"/>
      <c r="F17" s="180"/>
      <c r="G17" s="181"/>
      <c r="H17" s="90"/>
      <c r="I17" s="92"/>
      <c r="J17" s="88" t="s">
        <v>68</v>
      </c>
      <c r="K17" s="88"/>
    </row>
    <row r="18" spans="1:11" ht="60" customHeight="1">
      <c r="A18" s="86" t="s">
        <v>104</v>
      </c>
      <c r="B18" s="88" t="s">
        <v>217</v>
      </c>
      <c r="C18" s="88" t="s">
        <v>218</v>
      </c>
      <c r="D18" s="191" t="s">
        <v>219</v>
      </c>
      <c r="E18" s="180"/>
      <c r="F18" s="180"/>
      <c r="G18" s="181"/>
      <c r="H18" s="90"/>
      <c r="I18" s="92"/>
      <c r="J18" s="88" t="s">
        <v>68</v>
      </c>
      <c r="K18" s="88"/>
    </row>
  </sheetData>
  <mergeCells count="19">
    <mergeCell ref="B3:D3"/>
    <mergeCell ref="B4:D4"/>
    <mergeCell ref="B5:D5"/>
    <mergeCell ref="A11:K11"/>
    <mergeCell ref="A12:K12"/>
    <mergeCell ref="I9:I10"/>
    <mergeCell ref="J9:J10"/>
    <mergeCell ref="K9:K10"/>
    <mergeCell ref="D18:G18"/>
    <mergeCell ref="A9:A10"/>
    <mergeCell ref="B9:B10"/>
    <mergeCell ref="C9:C10"/>
    <mergeCell ref="H9:H10"/>
    <mergeCell ref="D9:G10"/>
    <mergeCell ref="D13:G13"/>
    <mergeCell ref="D14:G14"/>
    <mergeCell ref="D15:G15"/>
    <mergeCell ref="D16:G16"/>
    <mergeCell ref="D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zoomScaleNormal="100" workbookViewId="0">
      <selection activeCell="D7" sqref="D7"/>
    </sheetView>
  </sheetViews>
  <sheetFormatPr defaultColWidth="9" defaultRowHeight="13.5"/>
  <cols>
    <col min="1" max="1" width="18.25" customWidth="1"/>
    <col min="2" max="2" width="26.625" customWidth="1"/>
    <col min="3" max="3" width="35.5" customWidth="1"/>
    <col min="6" max="6" width="17.625" customWidth="1"/>
    <col min="7" max="7" width="0.875" customWidth="1"/>
  </cols>
  <sheetData>
    <row r="1" spans="1:11" ht="14.25">
      <c r="A1" s="62" t="s">
        <v>0</v>
      </c>
      <c r="B1" s="64" t="s">
        <v>220</v>
      </c>
      <c r="C1" s="63"/>
      <c r="D1" s="63"/>
      <c r="E1" s="63"/>
      <c r="F1" s="63"/>
      <c r="G1" s="63"/>
      <c r="H1" s="63"/>
      <c r="I1" s="63"/>
      <c r="J1" s="64"/>
      <c r="K1" s="63"/>
    </row>
    <row r="2" spans="1:11" ht="14.25">
      <c r="A2" s="65"/>
      <c r="B2" s="101"/>
      <c r="C2" s="101"/>
      <c r="D2" s="101"/>
      <c r="E2" s="63"/>
      <c r="F2" s="63"/>
      <c r="G2" s="63"/>
      <c r="H2" s="63"/>
      <c r="I2" s="63"/>
      <c r="J2" s="64"/>
      <c r="K2" s="63"/>
    </row>
    <row r="3" spans="1:11" ht="14.25">
      <c r="A3" s="102" t="s">
        <v>61</v>
      </c>
      <c r="B3" s="213" t="s">
        <v>62</v>
      </c>
      <c r="C3" s="213"/>
      <c r="D3" s="214"/>
      <c r="E3" s="67"/>
      <c r="F3" s="67"/>
      <c r="G3" s="67"/>
      <c r="H3" s="67"/>
      <c r="I3" s="197"/>
      <c r="J3" s="197"/>
      <c r="K3" s="197"/>
    </row>
    <row r="4" spans="1:11" ht="14.25">
      <c r="A4" s="70" t="s">
        <v>63</v>
      </c>
      <c r="B4" s="215" t="s">
        <v>221</v>
      </c>
      <c r="C4" s="216"/>
      <c r="D4" s="217"/>
      <c r="E4" s="67"/>
      <c r="F4" s="67"/>
      <c r="G4" s="67"/>
      <c r="H4" s="67"/>
      <c r="I4" s="197"/>
      <c r="J4" s="197"/>
      <c r="K4" s="197"/>
    </row>
    <row r="5" spans="1:11">
      <c r="A5" s="103" t="s">
        <v>65</v>
      </c>
      <c r="B5" s="218" t="s">
        <v>66</v>
      </c>
      <c r="C5" s="219"/>
      <c r="D5" s="220"/>
      <c r="E5" s="71"/>
      <c r="F5" s="71"/>
      <c r="G5" s="71"/>
      <c r="H5" s="71"/>
      <c r="I5" s="221"/>
      <c r="J5" s="221"/>
      <c r="K5" s="221"/>
    </row>
    <row r="6" spans="1:11" ht="14.25">
      <c r="A6" s="73" t="s">
        <v>67</v>
      </c>
      <c r="B6" s="74">
        <f>COUNTIF(J12:J23,"Pass")</f>
        <v>0</v>
      </c>
      <c r="C6" s="75" t="s">
        <v>68</v>
      </c>
      <c r="D6" s="76">
        <f>COUNTIF(J10:J741,"Pending")</f>
        <v>12</v>
      </c>
      <c r="E6" s="68"/>
      <c r="F6" s="68"/>
      <c r="G6" s="68"/>
      <c r="H6" s="68"/>
      <c r="I6" s="197"/>
      <c r="J6" s="197"/>
      <c r="K6" s="197"/>
    </row>
    <row r="7" spans="1:11" ht="14.25">
      <c r="A7" s="77" t="s">
        <v>69</v>
      </c>
      <c r="B7" s="78">
        <f>COUNTIF(J12:J23,"Fail")</f>
        <v>0</v>
      </c>
      <c r="C7" s="79" t="s">
        <v>70</v>
      </c>
      <c r="D7" s="80">
        <f>COUNTA(A12:A42)-4</f>
        <v>12</v>
      </c>
      <c r="E7" s="81"/>
      <c r="F7" s="81"/>
      <c r="G7" s="81"/>
      <c r="H7" s="81"/>
      <c r="I7" s="197"/>
      <c r="J7" s="197"/>
      <c r="K7" s="197"/>
    </row>
    <row r="8" spans="1:11" ht="14.25">
      <c r="A8" s="198"/>
      <c r="B8" s="198"/>
      <c r="C8" s="198"/>
      <c r="D8" s="198"/>
      <c r="E8" s="68"/>
      <c r="F8" s="68"/>
      <c r="G8" s="68"/>
      <c r="H8" s="68"/>
      <c r="I8" s="68"/>
      <c r="J8" s="82"/>
      <c r="K8" s="82"/>
    </row>
    <row r="9" spans="1:11" ht="13.5" customHeight="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</row>
    <row r="10" spans="1:1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</row>
    <row r="11" spans="1:1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1" ht="16.5" customHeight="1">
      <c r="A12" s="188" t="s">
        <v>222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90"/>
    </row>
    <row r="13" spans="1:11" ht="54" customHeight="1">
      <c r="A13" s="86" t="s">
        <v>80</v>
      </c>
      <c r="B13" s="87" t="s">
        <v>223</v>
      </c>
      <c r="C13" s="88" t="s">
        <v>224</v>
      </c>
      <c r="D13" s="225" t="s">
        <v>225</v>
      </c>
      <c r="E13" s="226"/>
      <c r="F13" s="226"/>
      <c r="G13" s="120"/>
      <c r="H13" s="90"/>
      <c r="I13" s="92"/>
      <c r="J13" s="88" t="s">
        <v>68</v>
      </c>
      <c r="K13" s="88"/>
    </row>
    <row r="14" spans="1:11" ht="54.75" customHeight="1">
      <c r="A14" s="86" t="s">
        <v>85</v>
      </c>
      <c r="B14" s="87" t="s">
        <v>226</v>
      </c>
      <c r="C14" s="88" t="s">
        <v>227</v>
      </c>
      <c r="D14" s="179" t="s">
        <v>228</v>
      </c>
      <c r="E14" s="180"/>
      <c r="F14" s="180"/>
      <c r="G14" s="120"/>
      <c r="H14" s="90"/>
      <c r="I14" s="92"/>
      <c r="J14" s="88" t="s">
        <v>68</v>
      </c>
      <c r="K14" s="88"/>
    </row>
    <row r="15" spans="1:11" ht="87.95" customHeight="1">
      <c r="A15" s="86" t="s">
        <v>90</v>
      </c>
      <c r="B15" s="87" t="s">
        <v>229</v>
      </c>
      <c r="C15" s="89" t="s">
        <v>230</v>
      </c>
      <c r="D15" s="179" t="s">
        <v>231</v>
      </c>
      <c r="E15" s="180"/>
      <c r="F15" s="180"/>
      <c r="G15" s="91"/>
      <c r="H15" s="91"/>
      <c r="I15" s="121"/>
      <c r="J15" s="88" t="s">
        <v>68</v>
      </c>
      <c r="K15" s="88"/>
    </row>
    <row r="16" spans="1:11" ht="18" customHeight="1">
      <c r="A16" s="188" t="s">
        <v>232</v>
      </c>
      <c r="B16" s="189"/>
      <c r="C16" s="189"/>
      <c r="D16" s="122"/>
      <c r="E16" s="122"/>
      <c r="F16" s="122"/>
      <c r="G16" s="122"/>
      <c r="H16" s="84"/>
      <c r="I16" s="84"/>
      <c r="J16" s="84"/>
      <c r="K16" s="85"/>
    </row>
    <row r="17" spans="1:11" ht="78" customHeight="1">
      <c r="A17" s="86" t="s">
        <v>95</v>
      </c>
      <c r="B17" s="123" t="s">
        <v>233</v>
      </c>
      <c r="C17" s="94" t="s">
        <v>234</v>
      </c>
      <c r="D17" s="225" t="s">
        <v>235</v>
      </c>
      <c r="E17" s="226"/>
      <c r="F17" s="226"/>
      <c r="G17" s="120"/>
      <c r="H17" s="90"/>
      <c r="I17" s="89"/>
      <c r="J17" s="88" t="s">
        <v>68</v>
      </c>
      <c r="K17" s="88"/>
    </row>
    <row r="18" spans="1:11" ht="79.5" customHeight="1">
      <c r="A18" s="86" t="s">
        <v>100</v>
      </c>
      <c r="B18" s="119" t="s">
        <v>236</v>
      </c>
      <c r="C18" s="89" t="s">
        <v>237</v>
      </c>
      <c r="D18" s="179" t="s">
        <v>238</v>
      </c>
      <c r="E18" s="180"/>
      <c r="F18" s="180"/>
      <c r="G18" s="91"/>
      <c r="H18" s="91"/>
      <c r="I18" s="88"/>
      <c r="J18" s="88" t="s">
        <v>68</v>
      </c>
      <c r="K18" s="88"/>
    </row>
    <row r="19" spans="1:11" ht="78.75" customHeight="1">
      <c r="A19" s="86" t="s">
        <v>104</v>
      </c>
      <c r="B19" s="119" t="s">
        <v>239</v>
      </c>
      <c r="C19" s="89" t="s">
        <v>240</v>
      </c>
      <c r="D19" s="179" t="s">
        <v>238</v>
      </c>
      <c r="E19" s="180"/>
      <c r="F19" s="180"/>
      <c r="G19" s="91"/>
      <c r="H19" s="91"/>
      <c r="I19" s="88"/>
      <c r="J19" s="88" t="s">
        <v>68</v>
      </c>
      <c r="K19" s="88"/>
    </row>
    <row r="20" spans="1:11" ht="19.5" customHeight="1">
      <c r="A20" s="188" t="s">
        <v>241</v>
      </c>
      <c r="B20" s="189"/>
      <c r="C20" s="189"/>
      <c r="D20" s="122"/>
      <c r="E20" s="122"/>
      <c r="F20" s="122"/>
      <c r="G20" s="122"/>
      <c r="H20" s="84"/>
      <c r="I20" s="84"/>
      <c r="J20" s="84"/>
      <c r="K20" s="85"/>
    </row>
    <row r="21" spans="1:11" ht="66" customHeight="1">
      <c r="A21" s="86" t="s">
        <v>109</v>
      </c>
      <c r="B21" s="94" t="s">
        <v>242</v>
      </c>
      <c r="C21" s="94" t="s">
        <v>243</v>
      </c>
      <c r="D21" s="179" t="s">
        <v>244</v>
      </c>
      <c r="E21" s="180"/>
      <c r="F21" s="180"/>
      <c r="G21" s="91"/>
      <c r="H21" s="90"/>
      <c r="I21" s="89"/>
      <c r="J21" s="88" t="s">
        <v>68</v>
      </c>
      <c r="K21" s="88"/>
    </row>
    <row r="22" spans="1:11" ht="66.75" customHeight="1">
      <c r="A22" s="86" t="s">
        <v>113</v>
      </c>
      <c r="B22" s="88" t="s">
        <v>245</v>
      </c>
      <c r="C22" s="88" t="s">
        <v>246</v>
      </c>
      <c r="D22" s="179" t="s">
        <v>247</v>
      </c>
      <c r="E22" s="180"/>
      <c r="F22" s="180"/>
      <c r="G22" s="91"/>
      <c r="H22" s="88"/>
      <c r="I22" s="88"/>
      <c r="J22" s="88" t="s">
        <v>68</v>
      </c>
      <c r="K22" s="88"/>
    </row>
    <row r="23" spans="1:11" ht="65.25" customHeight="1">
      <c r="A23" s="86" t="s">
        <v>118</v>
      </c>
      <c r="B23" s="88" t="s">
        <v>248</v>
      </c>
      <c r="C23" s="88" t="s">
        <v>249</v>
      </c>
      <c r="D23" s="225" t="s">
        <v>247</v>
      </c>
      <c r="E23" s="226"/>
      <c r="F23" s="226"/>
      <c r="G23" s="120"/>
      <c r="H23" s="94"/>
      <c r="I23" s="94"/>
      <c r="J23" s="94" t="s">
        <v>68</v>
      </c>
      <c r="K23" s="94"/>
    </row>
    <row r="24" spans="1:11" ht="18" customHeight="1">
      <c r="A24" s="188" t="s">
        <v>250</v>
      </c>
      <c r="B24" s="189"/>
      <c r="C24" s="189"/>
      <c r="D24" s="227"/>
      <c r="E24" s="227"/>
      <c r="F24" s="227"/>
      <c r="G24" s="84"/>
      <c r="H24" s="84"/>
      <c r="I24" s="84"/>
      <c r="J24" s="84"/>
      <c r="K24" s="85"/>
    </row>
    <row r="25" spans="1:11" ht="79.5" customHeight="1">
      <c r="A25" s="124" t="s">
        <v>122</v>
      </c>
      <c r="B25" s="88" t="s">
        <v>251</v>
      </c>
      <c r="C25" s="88" t="s">
        <v>252</v>
      </c>
      <c r="D25" s="225" t="s">
        <v>253</v>
      </c>
      <c r="E25" s="226"/>
      <c r="F25" s="226"/>
      <c r="G25" s="120"/>
      <c r="H25" s="94"/>
      <c r="I25" s="94"/>
      <c r="J25" s="94" t="s">
        <v>68</v>
      </c>
      <c r="K25" s="94"/>
    </row>
    <row r="26" spans="1:11" ht="81.75" customHeight="1">
      <c r="A26" s="124" t="s">
        <v>126</v>
      </c>
      <c r="B26" s="88" t="s">
        <v>254</v>
      </c>
      <c r="C26" s="88" t="s">
        <v>255</v>
      </c>
      <c r="D26" s="178" t="s">
        <v>256</v>
      </c>
      <c r="E26" s="178"/>
      <c r="F26" s="179"/>
      <c r="G26" s="91"/>
      <c r="H26" s="91"/>
      <c r="I26" s="88"/>
      <c r="J26" s="88" t="s">
        <v>68</v>
      </c>
      <c r="K26" s="88"/>
    </row>
    <row r="27" spans="1:11" ht="42" customHeight="1">
      <c r="A27" s="124" t="s">
        <v>161</v>
      </c>
      <c r="B27" s="88" t="s">
        <v>257</v>
      </c>
      <c r="C27" s="88" t="s">
        <v>258</v>
      </c>
      <c r="D27" s="178" t="s">
        <v>259</v>
      </c>
      <c r="E27" s="178"/>
      <c r="F27" s="179"/>
      <c r="G27" s="91"/>
      <c r="H27" s="88"/>
      <c r="I27" s="88"/>
      <c r="J27" s="88" t="s">
        <v>68</v>
      </c>
      <c r="K27" s="88"/>
    </row>
    <row r="28" spans="1:11">
      <c r="A28" s="125"/>
    </row>
    <row r="29" spans="1:11">
      <c r="A29" s="125"/>
    </row>
    <row r="31" spans="1:11">
      <c r="A31" s="125"/>
      <c r="C31" s="126"/>
    </row>
    <row r="32" spans="1:11">
      <c r="A32" s="125"/>
    </row>
    <row r="34" spans="1:1">
      <c r="A34" s="125"/>
    </row>
    <row r="35" spans="1:1">
      <c r="A35" s="125"/>
    </row>
    <row r="37" spans="1:1">
      <c r="A37" s="125"/>
    </row>
    <row r="38" spans="1:1">
      <c r="A38" s="125"/>
    </row>
  </sheetData>
  <mergeCells count="35">
    <mergeCell ref="B3:D3"/>
    <mergeCell ref="I3:K3"/>
    <mergeCell ref="B4:D4"/>
    <mergeCell ref="I4:K4"/>
    <mergeCell ref="B5:D5"/>
    <mergeCell ref="I5:K5"/>
    <mergeCell ref="I6:K6"/>
    <mergeCell ref="I7:K7"/>
    <mergeCell ref="A8:D8"/>
    <mergeCell ref="A11:K11"/>
    <mergeCell ref="A12:K12"/>
    <mergeCell ref="I9:I10"/>
    <mergeCell ref="J9:J10"/>
    <mergeCell ref="K9:K10"/>
    <mergeCell ref="D13:F13"/>
    <mergeCell ref="D14:F14"/>
    <mergeCell ref="D15:F15"/>
    <mergeCell ref="A16:C16"/>
    <mergeCell ref="D17:F17"/>
    <mergeCell ref="D27:F27"/>
    <mergeCell ref="A9:A10"/>
    <mergeCell ref="B9:B10"/>
    <mergeCell ref="C9:C10"/>
    <mergeCell ref="H9:H10"/>
    <mergeCell ref="D9:G10"/>
    <mergeCell ref="D23:F23"/>
    <mergeCell ref="A24:C24"/>
    <mergeCell ref="D24:F24"/>
    <mergeCell ref="D25:F25"/>
    <mergeCell ref="D26:F26"/>
    <mergeCell ref="D18:F18"/>
    <mergeCell ref="D19:F19"/>
    <mergeCell ref="A20:C20"/>
    <mergeCell ref="D21:F21"/>
    <mergeCell ref="D22:F22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selection activeCell="D7" sqref="D7"/>
    </sheetView>
  </sheetViews>
  <sheetFormatPr defaultColWidth="8.75" defaultRowHeight="14.25" outlineLevelRow="1"/>
  <cols>
    <col min="1" max="1" width="15.625" customWidth="1"/>
    <col min="2" max="2" width="18.125" customWidth="1"/>
    <col min="3" max="3" width="42.125" customWidth="1"/>
    <col min="6" max="6" width="23.625" customWidth="1"/>
    <col min="7" max="7" width="18.5" hidden="1" customWidth="1"/>
    <col min="8" max="8" width="38" customWidth="1"/>
    <col min="9" max="9" width="17.125" customWidth="1"/>
    <col min="10" max="10" width="8.75" style="5"/>
    <col min="11" max="11" width="18" customWidth="1"/>
  </cols>
  <sheetData>
    <row r="1" spans="1:12" s="56" customFormat="1" ht="12.75" customHeight="1">
      <c r="A1" s="62" t="s">
        <v>0</v>
      </c>
      <c r="B1" s="64" t="s">
        <v>220</v>
      </c>
      <c r="C1" s="63"/>
      <c r="D1" s="63"/>
      <c r="E1" s="63"/>
      <c r="F1" s="63"/>
      <c r="G1" s="63"/>
      <c r="H1" s="63"/>
      <c r="I1" s="63"/>
      <c r="J1" s="64"/>
      <c r="K1" s="63"/>
      <c r="L1" s="65"/>
    </row>
    <row r="2" spans="1:12" s="56" customFormat="1" ht="11.25" customHeight="1">
      <c r="A2" s="65"/>
      <c r="B2" s="101"/>
      <c r="C2" s="101"/>
      <c r="D2" s="101"/>
      <c r="E2" s="63"/>
      <c r="F2" s="63"/>
      <c r="G2" s="63"/>
      <c r="H2" s="63"/>
      <c r="I2" s="63"/>
      <c r="J2" s="64"/>
      <c r="K2" s="63"/>
      <c r="L2" s="65"/>
    </row>
    <row r="3" spans="1:12" s="57" customFormat="1" ht="15" customHeight="1">
      <c r="A3" s="102" t="s">
        <v>61</v>
      </c>
      <c r="B3" s="213" t="s">
        <v>62</v>
      </c>
      <c r="C3" s="213"/>
      <c r="D3" s="214"/>
      <c r="E3" s="67"/>
      <c r="F3" s="67"/>
      <c r="G3" s="67"/>
      <c r="H3" s="67"/>
      <c r="I3" s="197"/>
      <c r="J3" s="197"/>
      <c r="K3" s="197"/>
      <c r="L3" s="69"/>
    </row>
    <row r="4" spans="1:12" s="57" customFormat="1" ht="13.15" customHeight="1">
      <c r="A4" s="70" t="s">
        <v>63</v>
      </c>
      <c r="B4" s="215" t="s">
        <v>260</v>
      </c>
      <c r="C4" s="216"/>
      <c r="D4" s="217"/>
      <c r="E4" s="67"/>
      <c r="F4" s="67"/>
      <c r="G4" s="67"/>
      <c r="H4" s="67"/>
      <c r="I4" s="197"/>
      <c r="J4" s="197"/>
      <c r="K4" s="197"/>
      <c r="L4" s="69"/>
    </row>
    <row r="5" spans="1:12" s="58" customFormat="1" ht="12.75">
      <c r="A5" s="103" t="s">
        <v>65</v>
      </c>
      <c r="B5" s="218" t="s">
        <v>66</v>
      </c>
      <c r="C5" s="219"/>
      <c r="D5" s="220"/>
      <c r="E5" s="71"/>
      <c r="F5" s="71"/>
      <c r="G5" s="71"/>
      <c r="H5" s="71"/>
      <c r="I5" s="221"/>
      <c r="J5" s="221"/>
      <c r="K5" s="221"/>
      <c r="L5" s="72"/>
    </row>
    <row r="6" spans="1:12" s="57" customFormat="1" ht="15" customHeight="1">
      <c r="A6" s="73" t="s">
        <v>67</v>
      </c>
      <c r="B6" s="74">
        <f>COUNTIF(J12:J23,"Pass")</f>
        <v>0</v>
      </c>
      <c r="C6" s="75" t="s">
        <v>68</v>
      </c>
      <c r="D6" s="76">
        <f>COUNTIF(J10:J741,"Pending")</f>
        <v>0</v>
      </c>
      <c r="E6" s="68"/>
      <c r="F6" s="68"/>
      <c r="G6" s="68"/>
      <c r="H6" s="68"/>
      <c r="I6" s="197"/>
      <c r="J6" s="197"/>
      <c r="K6" s="197"/>
      <c r="L6" s="69"/>
    </row>
    <row r="7" spans="1:12" s="57" customFormat="1" ht="15" customHeight="1">
      <c r="A7" s="77" t="s">
        <v>69</v>
      </c>
      <c r="B7" s="78">
        <f>COUNTIF(J12:J23,"Fail")</f>
        <v>0</v>
      </c>
      <c r="C7" s="79" t="s">
        <v>70</v>
      </c>
      <c r="D7" s="80">
        <f>COUNTA(A12:A41)-4</f>
        <v>26</v>
      </c>
      <c r="E7" s="81"/>
      <c r="F7" s="81"/>
      <c r="G7" s="81"/>
      <c r="H7" s="81"/>
      <c r="I7" s="197"/>
      <c r="J7" s="197"/>
      <c r="K7" s="197"/>
      <c r="L7" s="69"/>
    </row>
    <row r="8" spans="1:12" s="57" customFormat="1" ht="15" customHeight="1">
      <c r="A8" s="198"/>
      <c r="B8" s="198"/>
      <c r="C8" s="198"/>
      <c r="D8" s="198"/>
      <c r="E8" s="68"/>
      <c r="F8" s="68"/>
      <c r="G8" s="68"/>
      <c r="H8" s="68"/>
      <c r="I8" s="68"/>
      <c r="J8" s="82"/>
      <c r="K8" s="82"/>
      <c r="L8" s="69"/>
    </row>
    <row r="9" spans="1:12" s="59" customFormat="1" ht="12" customHeight="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  <c r="L9" s="83"/>
    </row>
    <row r="10" spans="1:12" s="57" customFormat="1" ht="12" customHeight="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  <c r="L10" s="69"/>
    </row>
    <row r="11" spans="1:12" s="60" customFormat="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2" s="61" customFormat="1" ht="24.6" customHeight="1">
      <c r="A12" s="231" t="s">
        <v>261</v>
      </c>
      <c r="B12" s="232"/>
      <c r="C12" s="232"/>
      <c r="D12" s="232"/>
      <c r="E12" s="232"/>
      <c r="F12" s="232"/>
      <c r="G12" s="232"/>
      <c r="H12" s="232"/>
      <c r="I12" s="232"/>
      <c r="J12" s="232"/>
      <c r="K12" s="233"/>
    </row>
    <row r="13" spans="1:12" s="61" customFormat="1" ht="81.599999999999994" customHeight="1" outlineLevel="1">
      <c r="A13" s="104" t="s">
        <v>80</v>
      </c>
      <c r="B13" s="105" t="s">
        <v>262</v>
      </c>
      <c r="C13" s="105" t="s">
        <v>263</v>
      </c>
      <c r="D13" s="179" t="s">
        <v>264</v>
      </c>
      <c r="E13" s="180"/>
      <c r="F13" s="180"/>
      <c r="G13" s="91"/>
      <c r="H13" s="90"/>
      <c r="I13" s="92"/>
      <c r="J13" s="88"/>
      <c r="K13" s="88"/>
    </row>
    <row r="14" spans="1:12" s="61" customFormat="1" ht="91.15" customHeight="1" outlineLevel="1">
      <c r="A14" s="106" t="s">
        <v>85</v>
      </c>
      <c r="B14" s="107" t="s">
        <v>265</v>
      </c>
      <c r="C14" s="107" t="s">
        <v>266</v>
      </c>
      <c r="D14" s="179" t="s">
        <v>267</v>
      </c>
      <c r="E14" s="180"/>
      <c r="F14" s="180"/>
      <c r="G14" s="91"/>
      <c r="H14" s="90"/>
      <c r="I14" s="89"/>
      <c r="J14" s="88"/>
      <c r="K14" s="88"/>
    </row>
    <row r="15" spans="1:12" s="61" customFormat="1" ht="70.150000000000006" customHeight="1" outlineLevel="1">
      <c r="A15" s="104" t="s">
        <v>90</v>
      </c>
      <c r="B15" s="105" t="s">
        <v>268</v>
      </c>
      <c r="C15" s="105" t="s">
        <v>269</v>
      </c>
      <c r="D15" s="179" t="s">
        <v>270</v>
      </c>
      <c r="E15" s="180"/>
      <c r="F15" s="180"/>
      <c r="G15" s="91"/>
      <c r="H15" s="90"/>
      <c r="I15" s="89"/>
      <c r="J15" s="88"/>
      <c r="K15" s="88"/>
    </row>
    <row r="16" spans="1:12" ht="70.150000000000006" customHeight="1">
      <c r="A16" s="106" t="s">
        <v>95</v>
      </c>
      <c r="B16" s="107" t="s">
        <v>271</v>
      </c>
      <c r="C16" s="107" t="s">
        <v>272</v>
      </c>
      <c r="D16" s="179" t="s">
        <v>273</v>
      </c>
      <c r="E16" s="180"/>
      <c r="F16" s="180"/>
      <c r="G16" s="91"/>
      <c r="H16" s="90"/>
      <c r="I16" s="89"/>
      <c r="J16" s="88"/>
      <c r="K16" s="88"/>
    </row>
    <row r="17" spans="1:11" ht="70.150000000000006" customHeight="1">
      <c r="A17" s="104" t="s">
        <v>100</v>
      </c>
      <c r="B17" s="105" t="s">
        <v>274</v>
      </c>
      <c r="C17" s="105" t="s">
        <v>275</v>
      </c>
      <c r="D17" s="179" t="s">
        <v>276</v>
      </c>
      <c r="E17" s="180"/>
      <c r="F17" s="180"/>
      <c r="G17" s="91"/>
      <c r="H17" s="90"/>
      <c r="I17" s="89"/>
      <c r="J17" s="88"/>
      <c r="K17" s="88"/>
    </row>
    <row r="18" spans="1:11" ht="70.150000000000006" customHeight="1">
      <c r="A18" s="106" t="s">
        <v>104</v>
      </c>
      <c r="B18" s="107" t="s">
        <v>277</v>
      </c>
      <c r="C18" s="107" t="s">
        <v>278</v>
      </c>
      <c r="D18" s="179" t="s">
        <v>279</v>
      </c>
      <c r="E18" s="180"/>
      <c r="F18" s="180"/>
      <c r="G18" s="91"/>
      <c r="H18" s="90"/>
      <c r="I18" s="92"/>
      <c r="J18" s="88"/>
      <c r="K18" s="88"/>
    </row>
    <row r="19" spans="1:11" ht="70.150000000000006" customHeight="1">
      <c r="A19" s="104" t="s">
        <v>109</v>
      </c>
      <c r="B19" s="105" t="s">
        <v>280</v>
      </c>
      <c r="C19" s="105" t="s">
        <v>281</v>
      </c>
      <c r="D19" s="179" t="s">
        <v>282</v>
      </c>
      <c r="E19" s="180"/>
      <c r="F19" s="180"/>
      <c r="G19" s="91"/>
      <c r="H19" s="90"/>
      <c r="I19" s="89"/>
      <c r="J19" s="88"/>
      <c r="K19" s="88"/>
    </row>
    <row r="20" spans="1:11" ht="70.150000000000006" customHeight="1">
      <c r="A20" s="106" t="s">
        <v>113</v>
      </c>
      <c r="B20" s="107" t="s">
        <v>283</v>
      </c>
      <c r="C20" s="107" t="s">
        <v>284</v>
      </c>
      <c r="D20" s="179" t="s">
        <v>285</v>
      </c>
      <c r="E20" s="180"/>
      <c r="F20" s="180"/>
      <c r="G20" s="91"/>
      <c r="H20" s="90"/>
      <c r="I20" s="89"/>
      <c r="J20" s="88"/>
      <c r="K20" s="88"/>
    </row>
    <row r="21" spans="1:11" ht="70.150000000000006" customHeight="1">
      <c r="A21" s="104" t="s">
        <v>118</v>
      </c>
      <c r="B21" s="105" t="s">
        <v>286</v>
      </c>
      <c r="C21" s="105" t="s">
        <v>287</v>
      </c>
      <c r="D21" s="179" t="s">
        <v>288</v>
      </c>
      <c r="E21" s="180"/>
      <c r="F21" s="180"/>
      <c r="G21" s="91"/>
      <c r="H21" s="90"/>
      <c r="I21" s="89"/>
      <c r="J21" s="88"/>
      <c r="K21" s="88"/>
    </row>
    <row r="22" spans="1:11" ht="70.150000000000006" customHeight="1">
      <c r="A22" s="106" t="s">
        <v>122</v>
      </c>
      <c r="B22" s="107" t="s">
        <v>289</v>
      </c>
      <c r="C22" s="107" t="s">
        <v>290</v>
      </c>
      <c r="D22" s="179" t="s">
        <v>291</v>
      </c>
      <c r="E22" s="180"/>
      <c r="F22" s="180"/>
      <c r="G22" s="91"/>
      <c r="H22" s="90"/>
      <c r="I22" s="89"/>
      <c r="J22" s="88"/>
      <c r="K22" s="88"/>
    </row>
    <row r="23" spans="1:11" ht="70.150000000000006" customHeight="1">
      <c r="A23" s="104" t="s">
        <v>126</v>
      </c>
      <c r="B23" s="105" t="s">
        <v>292</v>
      </c>
      <c r="C23" s="105" t="s">
        <v>293</v>
      </c>
      <c r="D23" s="179" t="s">
        <v>294</v>
      </c>
      <c r="E23" s="180"/>
      <c r="F23" s="180"/>
      <c r="G23" s="91"/>
      <c r="H23" s="90"/>
      <c r="I23" s="92"/>
      <c r="J23" s="88"/>
      <c r="K23" s="88"/>
    </row>
    <row r="24" spans="1:11" ht="70.150000000000006" customHeight="1">
      <c r="A24" s="106" t="s">
        <v>161</v>
      </c>
      <c r="B24" s="107" t="s">
        <v>295</v>
      </c>
      <c r="C24" s="107" t="s">
        <v>296</v>
      </c>
      <c r="D24" s="179" t="s">
        <v>297</v>
      </c>
      <c r="E24" s="180"/>
      <c r="F24" s="180"/>
      <c r="G24" s="91"/>
      <c r="H24" s="90"/>
      <c r="I24" s="89"/>
      <c r="J24" s="88"/>
      <c r="K24" s="88"/>
    </row>
    <row r="25" spans="1:11" ht="70.150000000000006" customHeight="1">
      <c r="A25" s="104" t="s">
        <v>298</v>
      </c>
      <c r="B25" s="105" t="s">
        <v>299</v>
      </c>
      <c r="C25" s="105" t="s">
        <v>300</v>
      </c>
      <c r="D25" s="179" t="s">
        <v>301</v>
      </c>
      <c r="E25" s="180"/>
      <c r="F25" s="180"/>
      <c r="G25" s="91"/>
      <c r="H25" s="90"/>
      <c r="I25" s="89"/>
      <c r="J25" s="88"/>
      <c r="K25" s="88"/>
    </row>
    <row r="26" spans="1:11" ht="70.150000000000006" customHeight="1">
      <c r="A26" s="106" t="s">
        <v>302</v>
      </c>
      <c r="B26" s="107" t="s">
        <v>303</v>
      </c>
      <c r="C26" s="107" t="s">
        <v>304</v>
      </c>
      <c r="D26" s="179" t="s">
        <v>305</v>
      </c>
      <c r="E26" s="180"/>
      <c r="F26" s="180"/>
      <c r="G26" s="91"/>
      <c r="H26" s="90"/>
      <c r="I26" s="89"/>
      <c r="J26" s="88"/>
      <c r="K26" s="88"/>
    </row>
    <row r="27" spans="1:11" ht="25.15" customHeight="1">
      <c r="A27" s="230" t="s">
        <v>306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90"/>
    </row>
    <row r="28" spans="1:11" ht="70.150000000000006" customHeight="1">
      <c r="A28" s="104" t="s">
        <v>307</v>
      </c>
      <c r="B28" s="105" t="s">
        <v>308</v>
      </c>
      <c r="C28" s="105" t="s">
        <v>309</v>
      </c>
      <c r="D28" s="179" t="s">
        <v>310</v>
      </c>
      <c r="E28" s="180"/>
      <c r="F28" s="180"/>
      <c r="G28" s="91"/>
      <c r="H28" s="90"/>
      <c r="I28" s="92"/>
      <c r="J28" s="88"/>
      <c r="K28" s="88"/>
    </row>
    <row r="29" spans="1:11" ht="70.150000000000006" customHeight="1">
      <c r="A29" s="106" t="s">
        <v>311</v>
      </c>
      <c r="B29" s="107" t="s">
        <v>312</v>
      </c>
      <c r="C29" s="107" t="s">
        <v>313</v>
      </c>
      <c r="D29" s="179" t="s">
        <v>314</v>
      </c>
      <c r="E29" s="180"/>
      <c r="F29" s="180"/>
      <c r="G29" s="91"/>
      <c r="H29" s="90"/>
      <c r="I29" s="89"/>
      <c r="J29" s="88"/>
      <c r="K29" s="88"/>
    </row>
    <row r="30" spans="1:11" ht="70.150000000000006" customHeight="1">
      <c r="A30" s="104" t="s">
        <v>315</v>
      </c>
      <c r="B30" s="105" t="s">
        <v>316</v>
      </c>
      <c r="C30" s="105" t="s">
        <v>317</v>
      </c>
      <c r="D30" s="179" t="s">
        <v>318</v>
      </c>
      <c r="E30" s="180"/>
      <c r="F30" s="180"/>
      <c r="G30" s="91"/>
      <c r="H30" s="90"/>
      <c r="I30" s="89"/>
      <c r="J30" s="88"/>
      <c r="K30" s="88"/>
    </row>
    <row r="31" spans="1:11" ht="70.150000000000006" customHeight="1">
      <c r="A31" s="106" t="s">
        <v>319</v>
      </c>
      <c r="B31" s="107" t="s">
        <v>320</v>
      </c>
      <c r="C31" s="107" t="s">
        <v>321</v>
      </c>
      <c r="D31" s="179" t="s">
        <v>322</v>
      </c>
      <c r="E31" s="180"/>
      <c r="F31" s="180"/>
      <c r="G31" s="91"/>
      <c r="H31" s="90"/>
      <c r="I31" s="89"/>
      <c r="J31" s="88"/>
      <c r="K31" s="88"/>
    </row>
    <row r="32" spans="1:11" ht="70.150000000000006" customHeight="1">
      <c r="A32" s="104" t="s">
        <v>323</v>
      </c>
      <c r="B32" s="105" t="s">
        <v>324</v>
      </c>
      <c r="C32" s="105" t="s">
        <v>325</v>
      </c>
      <c r="D32" s="179" t="s">
        <v>326</v>
      </c>
      <c r="E32" s="180"/>
      <c r="F32" s="180"/>
      <c r="G32" s="91"/>
      <c r="H32" s="90"/>
      <c r="I32" s="89"/>
      <c r="J32" s="88"/>
      <c r="K32" s="88"/>
    </row>
    <row r="33" spans="1:11" ht="70.150000000000006" customHeight="1">
      <c r="A33" s="106" t="s">
        <v>327</v>
      </c>
      <c r="B33" s="107" t="s">
        <v>328</v>
      </c>
      <c r="C33" s="107" t="s">
        <v>329</v>
      </c>
      <c r="D33" s="179" t="s">
        <v>322</v>
      </c>
      <c r="E33" s="180"/>
      <c r="F33" s="180"/>
      <c r="G33" s="91"/>
      <c r="H33" s="90"/>
      <c r="I33" s="89"/>
      <c r="J33" s="88"/>
      <c r="K33" s="88"/>
    </row>
    <row r="34" spans="1:11" ht="70.150000000000006" customHeight="1">
      <c r="A34" s="104" t="s">
        <v>330</v>
      </c>
      <c r="B34" s="105" t="s">
        <v>331</v>
      </c>
      <c r="C34" s="105" t="s">
        <v>332</v>
      </c>
      <c r="D34" s="179" t="s">
        <v>333</v>
      </c>
      <c r="E34" s="180"/>
      <c r="F34" s="180"/>
      <c r="G34" s="91"/>
      <c r="H34" s="90"/>
      <c r="I34" s="89"/>
      <c r="J34" s="88"/>
      <c r="K34" s="88"/>
    </row>
    <row r="35" spans="1:11" ht="70.150000000000006" customHeight="1">
      <c r="A35" s="106" t="s">
        <v>334</v>
      </c>
      <c r="B35" s="107" t="s">
        <v>335</v>
      </c>
      <c r="C35" s="107" t="s">
        <v>336</v>
      </c>
      <c r="D35" s="179" t="s">
        <v>337</v>
      </c>
      <c r="E35" s="180"/>
      <c r="F35" s="180"/>
      <c r="G35" s="91"/>
      <c r="H35" s="90"/>
      <c r="I35" s="89"/>
      <c r="J35" s="88"/>
      <c r="K35" s="88"/>
    </row>
    <row r="36" spans="1:11" ht="28.15" customHeight="1">
      <c r="A36" s="230" t="s">
        <v>338</v>
      </c>
      <c r="B36" s="189"/>
      <c r="C36" s="189"/>
      <c r="D36" s="189"/>
      <c r="E36" s="189"/>
      <c r="F36" s="189"/>
      <c r="G36" s="189"/>
      <c r="H36" s="189"/>
      <c r="I36" s="189"/>
      <c r="J36" s="189"/>
      <c r="K36" s="190"/>
    </row>
    <row r="37" spans="1:11" ht="70.150000000000006" customHeight="1">
      <c r="A37" s="104" t="s">
        <v>339</v>
      </c>
      <c r="B37" s="105" t="s">
        <v>340</v>
      </c>
      <c r="C37" s="105" t="s">
        <v>341</v>
      </c>
      <c r="D37" s="179" t="s">
        <v>342</v>
      </c>
      <c r="E37" s="180"/>
      <c r="F37" s="180"/>
      <c r="G37" s="91"/>
      <c r="H37" s="90"/>
      <c r="I37" s="89"/>
      <c r="J37" s="88"/>
      <c r="K37" s="88"/>
    </row>
    <row r="38" spans="1:11" ht="70.150000000000006" customHeight="1">
      <c r="A38" s="106" t="s">
        <v>343</v>
      </c>
      <c r="B38" s="107" t="s">
        <v>344</v>
      </c>
      <c r="C38" s="107" t="s">
        <v>345</v>
      </c>
      <c r="D38" s="179" t="s">
        <v>346</v>
      </c>
      <c r="E38" s="180"/>
      <c r="F38" s="180"/>
      <c r="G38" s="91"/>
      <c r="H38" s="90"/>
      <c r="I38" s="89"/>
      <c r="J38" s="88"/>
      <c r="K38" s="88"/>
    </row>
    <row r="39" spans="1:11" ht="28.9" customHeight="1">
      <c r="A39" s="230" t="s">
        <v>347</v>
      </c>
      <c r="B39" s="189"/>
      <c r="C39" s="189"/>
      <c r="D39" s="189"/>
      <c r="E39" s="189"/>
      <c r="F39" s="189"/>
      <c r="G39" s="189"/>
      <c r="H39" s="189"/>
      <c r="I39" s="189"/>
      <c r="J39" s="189"/>
      <c r="K39" s="190"/>
    </row>
    <row r="40" spans="1:11" ht="70.150000000000006" customHeight="1">
      <c r="A40" s="104" t="s">
        <v>348</v>
      </c>
      <c r="B40" s="105" t="s">
        <v>349</v>
      </c>
      <c r="C40" s="105" t="s">
        <v>350</v>
      </c>
      <c r="D40" s="179" t="s">
        <v>351</v>
      </c>
      <c r="E40" s="180"/>
      <c r="F40" s="180"/>
      <c r="G40" s="91"/>
      <c r="H40" s="90"/>
      <c r="I40" s="89"/>
      <c r="J40" s="88"/>
      <c r="K40" s="88"/>
    </row>
    <row r="41" spans="1:11" ht="70.150000000000006" customHeight="1">
      <c r="A41" s="106" t="s">
        <v>352</v>
      </c>
      <c r="B41" s="107" t="s">
        <v>353</v>
      </c>
      <c r="C41" s="107" t="s">
        <v>354</v>
      </c>
      <c r="D41" s="179" t="s">
        <v>355</v>
      </c>
      <c r="E41" s="180"/>
      <c r="F41" s="180"/>
      <c r="G41" s="91"/>
      <c r="H41" s="90"/>
      <c r="I41" s="89"/>
      <c r="J41" s="88"/>
      <c r="K41" s="88"/>
    </row>
    <row r="42" spans="1:11" ht="12" customHeight="1">
      <c r="A42" s="86"/>
      <c r="B42" s="95"/>
      <c r="C42" s="88"/>
      <c r="D42" s="228"/>
      <c r="E42" s="229"/>
      <c r="F42" s="229"/>
      <c r="G42" s="91"/>
      <c r="H42" s="90"/>
      <c r="I42" s="89"/>
      <c r="J42" s="88"/>
      <c r="K42" s="88"/>
    </row>
    <row r="43" spans="1:11" ht="12" customHeight="1">
      <c r="A43" s="86"/>
      <c r="B43" s="93"/>
      <c r="C43" s="94"/>
      <c r="D43" s="228"/>
      <c r="E43" s="180"/>
      <c r="F43" s="180"/>
      <c r="G43" s="91"/>
      <c r="H43" s="90"/>
      <c r="I43" s="89"/>
      <c r="J43" s="88"/>
      <c r="K43" s="88"/>
    </row>
    <row r="44" spans="1:11" ht="12" customHeight="1">
      <c r="A44" s="86"/>
      <c r="B44" s="95"/>
      <c r="C44" s="88"/>
      <c r="D44" s="228"/>
      <c r="E44" s="229"/>
      <c r="F44" s="229"/>
      <c r="G44" s="91"/>
      <c r="H44" s="90"/>
      <c r="I44" s="89"/>
      <c r="J44" s="88"/>
      <c r="K44" s="88"/>
    </row>
    <row r="45" spans="1:11" ht="12" customHeight="1">
      <c r="A45" s="86"/>
      <c r="B45" s="93"/>
      <c r="C45" s="94"/>
      <c r="D45" s="228"/>
      <c r="E45" s="180"/>
      <c r="F45" s="180"/>
      <c r="G45" s="91"/>
      <c r="H45" s="90"/>
      <c r="I45" s="89"/>
      <c r="J45" s="88"/>
      <c r="K45" s="88"/>
    </row>
    <row r="46" spans="1:11" ht="12" customHeight="1">
      <c r="A46" s="86"/>
      <c r="B46" s="95"/>
      <c r="C46" s="88"/>
      <c r="D46" s="228"/>
      <c r="E46" s="229"/>
      <c r="F46" s="229"/>
      <c r="G46" s="91"/>
      <c r="H46" s="90"/>
      <c r="I46" s="89"/>
      <c r="J46" s="88"/>
      <c r="K46" s="88"/>
    </row>
    <row r="47" spans="1:11" ht="12" customHeight="1">
      <c r="A47" s="86"/>
      <c r="B47" s="93"/>
      <c r="C47" s="94"/>
      <c r="D47" s="228"/>
      <c r="E47" s="180"/>
      <c r="F47" s="180"/>
      <c r="G47" s="91"/>
      <c r="H47" s="90"/>
      <c r="I47" s="89"/>
      <c r="J47" s="88"/>
      <c r="K47" s="88"/>
    </row>
    <row r="48" spans="1:11" ht="12" customHeight="1">
      <c r="A48" s="86"/>
      <c r="B48" s="95"/>
      <c r="C48" s="88"/>
      <c r="D48" s="228"/>
      <c r="E48" s="229"/>
      <c r="F48" s="229"/>
      <c r="G48" s="91"/>
      <c r="H48" s="90"/>
      <c r="I48" s="89"/>
      <c r="J48" s="88"/>
      <c r="K48" s="88"/>
    </row>
    <row r="49" spans="1:11" ht="12" customHeight="1">
      <c r="A49" s="86"/>
      <c r="B49" s="93"/>
      <c r="C49" s="94"/>
      <c r="D49" s="228"/>
      <c r="E49" s="180"/>
      <c r="F49" s="180"/>
      <c r="G49" s="91"/>
      <c r="H49" s="90"/>
      <c r="I49" s="89"/>
      <c r="J49" s="88"/>
      <c r="K49" s="88"/>
    </row>
    <row r="50" spans="1:11" ht="12" customHeight="1">
      <c r="A50" s="86"/>
      <c r="B50" s="95"/>
      <c r="C50" s="88"/>
      <c r="D50" s="228"/>
      <c r="E50" s="229"/>
      <c r="F50" s="229"/>
      <c r="G50" s="91"/>
      <c r="H50" s="90"/>
      <c r="I50" s="89"/>
      <c r="J50" s="88"/>
      <c r="K50" s="88"/>
    </row>
    <row r="51" spans="1:11" ht="12" customHeight="1"/>
    <row r="52" spans="1:11" ht="12" customHeight="1"/>
    <row r="53" spans="1:11" ht="12" customHeight="1"/>
  </sheetData>
  <mergeCells count="57">
    <mergeCell ref="B3:D3"/>
    <mergeCell ref="I3:K3"/>
    <mergeCell ref="B4:D4"/>
    <mergeCell ref="I4:K4"/>
    <mergeCell ref="B5:D5"/>
    <mergeCell ref="I5:K5"/>
    <mergeCell ref="I6:K6"/>
    <mergeCell ref="I7:K7"/>
    <mergeCell ref="A8:D8"/>
    <mergeCell ref="A11:K11"/>
    <mergeCell ref="A12:K12"/>
    <mergeCell ref="H9:H10"/>
    <mergeCell ref="I9:I10"/>
    <mergeCell ref="J9:J10"/>
    <mergeCell ref="K9:K10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A27:K27"/>
    <mergeCell ref="D28:F28"/>
    <mergeCell ref="D29:F29"/>
    <mergeCell ref="D30:F30"/>
    <mergeCell ref="D31:F31"/>
    <mergeCell ref="D32:F32"/>
    <mergeCell ref="D42:F42"/>
    <mergeCell ref="D33:F33"/>
    <mergeCell ref="D34:F34"/>
    <mergeCell ref="D35:F35"/>
    <mergeCell ref="A36:K36"/>
    <mergeCell ref="D37:F37"/>
    <mergeCell ref="D48:F48"/>
    <mergeCell ref="D49:F49"/>
    <mergeCell ref="D50:F50"/>
    <mergeCell ref="A9:A10"/>
    <mergeCell ref="B9:B10"/>
    <mergeCell ref="C9:C10"/>
    <mergeCell ref="D9:G10"/>
    <mergeCell ref="D43:F43"/>
    <mergeCell ref="D44:F44"/>
    <mergeCell ref="D45:F45"/>
    <mergeCell ref="D46:F46"/>
    <mergeCell ref="D47:F47"/>
    <mergeCell ref="D38:F38"/>
    <mergeCell ref="A39:K39"/>
    <mergeCell ref="D40:F40"/>
    <mergeCell ref="D41:F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="85" zoomScaleNormal="85" workbookViewId="0">
      <selection activeCell="D15" sqref="D15:F15"/>
    </sheetView>
  </sheetViews>
  <sheetFormatPr defaultColWidth="8.75" defaultRowHeight="14.25" outlineLevelRow="1"/>
  <cols>
    <col min="1" max="1" width="15.625" customWidth="1"/>
    <col min="2" max="2" width="18.125" customWidth="1"/>
    <col min="3" max="3" width="42.125" customWidth="1"/>
    <col min="6" max="6" width="23.625" customWidth="1"/>
    <col min="7" max="7" width="18.5" hidden="1" customWidth="1"/>
    <col min="8" max="8" width="38" customWidth="1"/>
    <col min="9" max="9" width="17.125" customWidth="1"/>
    <col min="10" max="10" width="8.75" style="5"/>
    <col min="11" max="11" width="18" customWidth="1"/>
  </cols>
  <sheetData>
    <row r="1" spans="1:12" s="56" customFormat="1" ht="12.75" customHeight="1">
      <c r="A1" s="62" t="s">
        <v>0</v>
      </c>
      <c r="B1" s="64" t="s">
        <v>220</v>
      </c>
      <c r="C1" s="63"/>
      <c r="D1" s="63"/>
      <c r="E1" s="63"/>
      <c r="F1" s="63"/>
      <c r="G1" s="63"/>
      <c r="H1" s="63"/>
      <c r="I1" s="63"/>
      <c r="J1" s="64"/>
      <c r="K1" s="63"/>
      <c r="L1" s="65"/>
    </row>
    <row r="2" spans="1:12" s="56" customFormat="1" ht="11.25" customHeight="1">
      <c r="A2" s="65"/>
      <c r="B2" s="101"/>
      <c r="C2" s="101"/>
      <c r="D2" s="101"/>
      <c r="E2" s="63"/>
      <c r="F2" s="63"/>
      <c r="G2" s="63"/>
      <c r="H2" s="63"/>
      <c r="I2" s="63"/>
      <c r="J2" s="64"/>
      <c r="K2" s="63"/>
      <c r="L2" s="65"/>
    </row>
    <row r="3" spans="1:12" s="57" customFormat="1" ht="15" customHeight="1">
      <c r="A3" s="102" t="s">
        <v>61</v>
      </c>
      <c r="B3" s="213" t="s">
        <v>62</v>
      </c>
      <c r="C3" s="213"/>
      <c r="D3" s="214"/>
      <c r="E3" s="67"/>
      <c r="F3" s="67"/>
      <c r="G3" s="67"/>
      <c r="H3" s="67"/>
      <c r="I3" s="197"/>
      <c r="J3" s="197"/>
      <c r="K3" s="197"/>
      <c r="L3" s="69"/>
    </row>
    <row r="4" spans="1:12" s="57" customFormat="1" ht="13.15" customHeight="1">
      <c r="A4" s="70" t="s">
        <v>63</v>
      </c>
      <c r="B4" s="215" t="s">
        <v>356</v>
      </c>
      <c r="C4" s="216"/>
      <c r="D4" s="217"/>
      <c r="E4" s="67"/>
      <c r="F4" s="67"/>
      <c r="G4" s="67"/>
      <c r="H4" s="67"/>
      <c r="I4" s="197"/>
      <c r="J4" s="197"/>
      <c r="K4" s="197"/>
      <c r="L4" s="69"/>
    </row>
    <row r="5" spans="1:12" s="58" customFormat="1" ht="25.5">
      <c r="A5" s="103" t="s">
        <v>65</v>
      </c>
      <c r="B5" s="218" t="s">
        <v>66</v>
      </c>
      <c r="C5" s="219"/>
      <c r="D5" s="220"/>
      <c r="E5" s="71"/>
      <c r="F5" s="71"/>
      <c r="G5" s="71"/>
      <c r="H5" s="71"/>
      <c r="I5" s="221"/>
      <c r="J5" s="221"/>
      <c r="K5" s="221"/>
      <c r="L5" s="72"/>
    </row>
    <row r="6" spans="1:12" s="57" customFormat="1" ht="15" customHeight="1">
      <c r="A6" s="73" t="s">
        <v>67</v>
      </c>
      <c r="B6" s="74">
        <f>COUNTIF(J12:J23,"Pass")</f>
        <v>0</v>
      </c>
      <c r="C6" s="75" t="s">
        <v>68</v>
      </c>
      <c r="D6" s="76">
        <f>COUNTIF(J10:J741,"Pending")</f>
        <v>0</v>
      </c>
      <c r="E6" s="68"/>
      <c r="F6" s="68"/>
      <c r="G6" s="68"/>
      <c r="H6" s="68"/>
      <c r="I6" s="197"/>
      <c r="J6" s="197"/>
      <c r="K6" s="197"/>
      <c r="L6" s="69"/>
    </row>
    <row r="7" spans="1:12" s="57" customFormat="1" ht="15" customHeight="1">
      <c r="A7" s="77" t="s">
        <v>69</v>
      </c>
      <c r="B7" s="78">
        <f>COUNTIF(J12:J23,"Fail")</f>
        <v>0</v>
      </c>
      <c r="C7" s="79" t="s">
        <v>70</v>
      </c>
      <c r="D7" s="80">
        <f>COUNTA(A12:A29)-4</f>
        <v>14</v>
      </c>
      <c r="E7" s="81"/>
      <c r="F7" s="81"/>
      <c r="G7" s="81"/>
      <c r="H7" s="81"/>
      <c r="I7" s="197"/>
      <c r="J7" s="197"/>
      <c r="K7" s="197"/>
      <c r="L7" s="69"/>
    </row>
    <row r="8" spans="1:12" s="57" customFormat="1" ht="15" customHeight="1">
      <c r="A8" s="198"/>
      <c r="B8" s="198"/>
      <c r="C8" s="198"/>
      <c r="D8" s="198"/>
      <c r="E8" s="68"/>
      <c r="F8" s="68"/>
      <c r="G8" s="68"/>
      <c r="H8" s="68"/>
      <c r="I8" s="68"/>
      <c r="J8" s="82"/>
      <c r="K8" s="82"/>
      <c r="L8" s="69"/>
    </row>
    <row r="9" spans="1:12" s="59" customFormat="1" ht="12" customHeight="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  <c r="L9" s="83"/>
    </row>
    <row r="10" spans="1:12" s="57" customFormat="1" ht="12" customHeight="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  <c r="L10" s="69"/>
    </row>
    <row r="11" spans="1:12" s="60" customFormat="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2" s="61" customFormat="1" ht="22.9" customHeight="1">
      <c r="A12" s="230" t="s">
        <v>357</v>
      </c>
      <c r="B12" s="234"/>
      <c r="C12" s="234"/>
      <c r="D12" s="234"/>
      <c r="E12" s="234"/>
      <c r="F12" s="234"/>
      <c r="G12" s="234"/>
      <c r="H12" s="234"/>
      <c r="I12" s="234"/>
      <c r="J12" s="234"/>
      <c r="K12" s="235"/>
    </row>
    <row r="13" spans="1:12" s="61" customFormat="1" ht="66.599999999999994" customHeight="1" outlineLevel="1">
      <c r="A13" s="104" t="s">
        <v>80</v>
      </c>
      <c r="B13" s="105" t="s">
        <v>358</v>
      </c>
      <c r="C13" s="105" t="s">
        <v>359</v>
      </c>
      <c r="D13" s="179" t="s">
        <v>360</v>
      </c>
      <c r="E13" s="180"/>
      <c r="F13" s="180"/>
      <c r="G13" s="91"/>
      <c r="H13" s="90"/>
      <c r="I13" s="92"/>
      <c r="J13" s="88"/>
      <c r="K13" s="88"/>
    </row>
    <row r="14" spans="1:12" s="61" customFormat="1" ht="63.75" customHeight="1" outlineLevel="1">
      <c r="A14" s="106" t="s">
        <v>85</v>
      </c>
      <c r="B14" s="107" t="s">
        <v>361</v>
      </c>
      <c r="C14" s="107" t="s">
        <v>362</v>
      </c>
      <c r="D14" s="179" t="s">
        <v>363</v>
      </c>
      <c r="E14" s="180"/>
      <c r="F14" s="180"/>
      <c r="G14" s="91"/>
      <c r="H14" s="90"/>
      <c r="I14" s="89"/>
      <c r="J14" s="88"/>
      <c r="K14" s="88"/>
    </row>
    <row r="15" spans="1:12" s="61" customFormat="1" ht="70.150000000000006" customHeight="1" outlineLevel="1">
      <c r="A15" s="104" t="s">
        <v>90</v>
      </c>
      <c r="B15" s="105" t="s">
        <v>364</v>
      </c>
      <c r="C15" s="105" t="s">
        <v>365</v>
      </c>
      <c r="D15" s="179" t="s">
        <v>366</v>
      </c>
      <c r="E15" s="180"/>
      <c r="F15" s="180"/>
      <c r="G15" s="91"/>
      <c r="H15" s="90"/>
      <c r="I15" s="89"/>
      <c r="J15" s="88"/>
      <c r="K15" s="88"/>
    </row>
    <row r="16" spans="1:12" ht="27" customHeight="1">
      <c r="A16" s="230" t="s">
        <v>367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1:11" ht="70.150000000000006" customHeight="1">
      <c r="A17" s="106" t="s">
        <v>95</v>
      </c>
      <c r="B17" s="107" t="s">
        <v>368</v>
      </c>
      <c r="C17" s="107" t="s">
        <v>369</v>
      </c>
      <c r="D17" s="179" t="s">
        <v>370</v>
      </c>
      <c r="E17" s="180"/>
      <c r="F17" s="180"/>
      <c r="G17" s="91"/>
      <c r="H17" s="90"/>
      <c r="I17" s="89"/>
      <c r="J17" s="88"/>
      <c r="K17" s="88"/>
    </row>
    <row r="18" spans="1:11" ht="70.150000000000006" customHeight="1">
      <c r="A18" s="104" t="s">
        <v>100</v>
      </c>
      <c r="B18" s="105" t="s">
        <v>371</v>
      </c>
      <c r="C18" s="105" t="s">
        <v>372</v>
      </c>
      <c r="D18" s="179" t="s">
        <v>373</v>
      </c>
      <c r="E18" s="180"/>
      <c r="F18" s="180"/>
      <c r="G18" s="91"/>
      <c r="H18" s="90"/>
      <c r="I18" s="89"/>
      <c r="J18" s="88"/>
      <c r="K18" s="88"/>
    </row>
    <row r="19" spans="1:11" ht="70.150000000000006" customHeight="1">
      <c r="A19" s="106" t="s">
        <v>104</v>
      </c>
      <c r="B19" s="107" t="s">
        <v>374</v>
      </c>
      <c r="C19" s="107" t="s">
        <v>375</v>
      </c>
      <c r="D19" s="179" t="s">
        <v>376</v>
      </c>
      <c r="E19" s="180"/>
      <c r="F19" s="180"/>
      <c r="G19" s="91"/>
      <c r="H19" s="90"/>
      <c r="I19" s="89"/>
      <c r="J19" s="88"/>
      <c r="K19" s="88"/>
    </row>
    <row r="20" spans="1:11" ht="28.15" customHeight="1">
      <c r="A20" s="231" t="s">
        <v>377</v>
      </c>
      <c r="B20" s="232"/>
      <c r="C20" s="232"/>
      <c r="D20" s="232"/>
      <c r="E20" s="232"/>
      <c r="F20" s="232"/>
      <c r="G20" s="232"/>
      <c r="H20" s="232"/>
      <c r="I20" s="232"/>
      <c r="J20" s="232"/>
      <c r="K20" s="233"/>
    </row>
    <row r="21" spans="1:11" ht="70.150000000000006" customHeight="1">
      <c r="A21" s="104" t="s">
        <v>109</v>
      </c>
      <c r="B21" s="105" t="s">
        <v>378</v>
      </c>
      <c r="C21" s="105" t="s">
        <v>379</v>
      </c>
      <c r="D21" s="179" t="s">
        <v>380</v>
      </c>
      <c r="E21" s="180"/>
      <c r="F21" s="180"/>
      <c r="G21" s="91"/>
      <c r="H21" s="90"/>
      <c r="I21" s="89"/>
      <c r="J21" s="88"/>
      <c r="K21" s="88"/>
    </row>
    <row r="22" spans="1:11" ht="70.150000000000006" customHeight="1">
      <c r="A22" s="106" t="s">
        <v>113</v>
      </c>
      <c r="B22" s="107" t="s">
        <v>381</v>
      </c>
      <c r="C22" s="107" t="s">
        <v>382</v>
      </c>
      <c r="D22" s="179" t="s">
        <v>383</v>
      </c>
      <c r="E22" s="180"/>
      <c r="F22" s="180"/>
      <c r="G22" s="91"/>
      <c r="H22" s="90"/>
      <c r="I22" s="89"/>
      <c r="J22" s="88"/>
      <c r="K22" s="88"/>
    </row>
    <row r="23" spans="1:11" ht="70.150000000000006" customHeight="1">
      <c r="A23" s="104" t="s">
        <v>118</v>
      </c>
      <c r="B23" s="105" t="s">
        <v>384</v>
      </c>
      <c r="C23" s="105" t="s">
        <v>385</v>
      </c>
      <c r="D23" s="179" t="s">
        <v>386</v>
      </c>
      <c r="E23" s="180"/>
      <c r="F23" s="180"/>
      <c r="G23" s="91"/>
      <c r="H23" s="90"/>
      <c r="I23" s="89"/>
      <c r="J23" s="88"/>
      <c r="K23" s="88"/>
    </row>
    <row r="24" spans="1:11" ht="70.150000000000006" customHeight="1">
      <c r="A24" s="106" t="s">
        <v>122</v>
      </c>
      <c r="B24" s="107" t="s">
        <v>387</v>
      </c>
      <c r="C24" s="107" t="s">
        <v>388</v>
      </c>
      <c r="D24" s="179" t="s">
        <v>389</v>
      </c>
      <c r="E24" s="180"/>
      <c r="F24" s="180"/>
      <c r="G24" s="91"/>
      <c r="H24" s="90"/>
      <c r="I24" s="89"/>
      <c r="J24" s="88"/>
      <c r="K24" s="88"/>
    </row>
    <row r="25" spans="1:11" ht="31.15" customHeight="1">
      <c r="A25" s="231" t="s">
        <v>390</v>
      </c>
      <c r="B25" s="232"/>
      <c r="C25" s="232"/>
      <c r="D25" s="232"/>
      <c r="E25" s="232"/>
      <c r="F25" s="232"/>
      <c r="G25" s="232"/>
      <c r="H25" s="232"/>
      <c r="I25" s="232"/>
      <c r="J25" s="232"/>
      <c r="K25" s="233"/>
    </row>
    <row r="26" spans="1:11" ht="70.150000000000006" customHeight="1">
      <c r="A26" s="104" t="s">
        <v>126</v>
      </c>
      <c r="B26" s="105" t="s">
        <v>391</v>
      </c>
      <c r="C26" s="105" t="s">
        <v>392</v>
      </c>
      <c r="D26" s="179" t="s">
        <v>393</v>
      </c>
      <c r="E26" s="180"/>
      <c r="F26" s="180"/>
      <c r="G26" s="91"/>
      <c r="H26" s="90"/>
      <c r="I26" s="89"/>
      <c r="J26" s="88"/>
      <c r="K26" s="88"/>
    </row>
    <row r="27" spans="1:11" ht="70.150000000000006" customHeight="1">
      <c r="A27" s="106" t="s">
        <v>161</v>
      </c>
      <c r="B27" s="107" t="s">
        <v>394</v>
      </c>
      <c r="C27" s="107" t="s">
        <v>395</v>
      </c>
      <c r="D27" s="179" t="s">
        <v>396</v>
      </c>
      <c r="E27" s="180"/>
      <c r="F27" s="180"/>
      <c r="G27" s="91"/>
      <c r="H27" s="90"/>
      <c r="I27" s="89"/>
      <c r="J27" s="88"/>
      <c r="K27" s="88"/>
    </row>
    <row r="28" spans="1:11" ht="70.150000000000006" customHeight="1">
      <c r="A28" s="104" t="s">
        <v>298</v>
      </c>
      <c r="B28" s="105" t="s">
        <v>397</v>
      </c>
      <c r="C28" s="105" t="s">
        <v>398</v>
      </c>
      <c r="D28" s="179" t="s">
        <v>399</v>
      </c>
      <c r="E28" s="180"/>
      <c r="F28" s="180"/>
      <c r="G28" s="91"/>
      <c r="H28" s="90"/>
      <c r="I28" s="89"/>
      <c r="J28" s="88"/>
      <c r="K28" s="88"/>
    </row>
    <row r="29" spans="1:11" ht="70.150000000000006" customHeight="1">
      <c r="A29" s="106" t="s">
        <v>302</v>
      </c>
      <c r="B29" s="107" t="s">
        <v>400</v>
      </c>
      <c r="C29" s="107" t="s">
        <v>401</v>
      </c>
      <c r="D29" s="179" t="s">
        <v>402</v>
      </c>
      <c r="E29" s="180"/>
      <c r="F29" s="180"/>
      <c r="G29" s="91"/>
      <c r="H29" s="90"/>
      <c r="I29" s="89"/>
      <c r="J29" s="88"/>
      <c r="K29" s="88"/>
    </row>
    <row r="30" spans="1:11" ht="70.150000000000006" customHeight="1">
      <c r="A30" s="104"/>
      <c r="B30" s="105"/>
      <c r="C30" s="105"/>
      <c r="D30" s="179"/>
      <c r="E30" s="180"/>
      <c r="F30" s="180"/>
      <c r="G30" s="91"/>
      <c r="H30" s="90"/>
      <c r="I30" s="89"/>
      <c r="J30" s="88"/>
      <c r="K30" s="88"/>
    </row>
    <row r="31" spans="1:11" ht="70.150000000000006" customHeight="1">
      <c r="A31" s="106"/>
      <c r="B31" s="116"/>
      <c r="C31" s="107"/>
      <c r="D31" s="179"/>
      <c r="E31" s="180"/>
      <c r="F31" s="180"/>
      <c r="G31" s="91"/>
      <c r="H31" s="90"/>
      <c r="I31" s="89"/>
      <c r="J31" s="88"/>
      <c r="K31" s="88"/>
    </row>
    <row r="32" spans="1:11" ht="70.150000000000006" customHeight="1">
      <c r="A32" s="117"/>
      <c r="B32" s="118"/>
      <c r="C32" s="119"/>
      <c r="D32" s="228"/>
      <c r="E32" s="229"/>
      <c r="F32" s="229"/>
      <c r="G32" s="91"/>
      <c r="H32" s="90"/>
      <c r="I32" s="89"/>
      <c r="J32" s="88"/>
      <c r="K32" s="88"/>
    </row>
    <row r="33" spans="1:11" ht="70.150000000000006" customHeight="1">
      <c r="A33" s="86"/>
      <c r="B33" s="95"/>
      <c r="C33" s="88"/>
      <c r="D33" s="228"/>
      <c r="E33" s="229"/>
      <c r="F33" s="229"/>
      <c r="G33" s="91"/>
      <c r="H33" s="90"/>
      <c r="I33" s="89"/>
      <c r="J33" s="88"/>
      <c r="K33" s="88"/>
    </row>
    <row r="34" spans="1:11" ht="70.150000000000006" customHeight="1">
      <c r="A34" s="86"/>
      <c r="B34" s="95"/>
      <c r="C34" s="88"/>
      <c r="D34" s="228"/>
      <c r="E34" s="229"/>
      <c r="F34" s="229"/>
      <c r="G34" s="91"/>
      <c r="H34" s="90"/>
      <c r="I34" s="89"/>
      <c r="J34" s="88"/>
      <c r="K34" s="88"/>
    </row>
    <row r="35" spans="1:11" ht="70.150000000000006" customHeight="1">
      <c r="A35" s="86"/>
      <c r="B35" s="95"/>
      <c r="C35" s="88"/>
      <c r="D35" s="228"/>
      <c r="E35" s="229"/>
      <c r="F35" s="229"/>
      <c r="G35" s="91"/>
      <c r="H35" s="90"/>
      <c r="I35" s="89"/>
      <c r="J35" s="88"/>
      <c r="K35" s="88"/>
    </row>
    <row r="36" spans="1:11" ht="70.150000000000006" customHeight="1">
      <c r="A36" s="86"/>
      <c r="B36" s="95"/>
      <c r="C36" s="88"/>
      <c r="D36" s="228"/>
      <c r="E36" s="229"/>
      <c r="F36" s="229"/>
      <c r="G36" s="91"/>
      <c r="H36" s="90"/>
      <c r="I36" s="89"/>
      <c r="J36" s="88"/>
      <c r="K36" s="88"/>
    </row>
    <row r="37" spans="1:11" ht="70.150000000000006" customHeight="1">
      <c r="A37" s="86"/>
      <c r="B37" s="95"/>
      <c r="C37" s="88"/>
      <c r="D37" s="228"/>
      <c r="E37" s="229"/>
      <c r="F37" s="229"/>
      <c r="G37" s="91"/>
      <c r="H37" s="90"/>
      <c r="I37" s="89"/>
      <c r="J37" s="88"/>
      <c r="K37" s="88"/>
    </row>
    <row r="38" spans="1:11" ht="70.150000000000006" customHeight="1">
      <c r="A38" s="86"/>
      <c r="B38" s="95"/>
      <c r="C38" s="88"/>
      <c r="D38" s="228"/>
      <c r="E38" s="229"/>
      <c r="F38" s="229"/>
      <c r="G38" s="91"/>
      <c r="H38" s="90"/>
      <c r="I38" s="89"/>
      <c r="J38" s="88"/>
      <c r="K38" s="88"/>
    </row>
    <row r="39" spans="1:11" ht="70.150000000000006" customHeight="1">
      <c r="A39" s="86"/>
      <c r="B39" s="95"/>
      <c r="C39" s="88"/>
      <c r="D39" s="228"/>
      <c r="E39" s="229"/>
      <c r="F39" s="229"/>
      <c r="G39" s="91"/>
      <c r="H39" s="90"/>
      <c r="I39" s="89"/>
      <c r="J39" s="88"/>
      <c r="K39" s="88"/>
    </row>
    <row r="40" spans="1:11" ht="70.150000000000006" customHeight="1">
      <c r="A40" s="86"/>
      <c r="B40" s="95"/>
      <c r="C40" s="88"/>
      <c r="D40" s="228"/>
      <c r="E40" s="229"/>
      <c r="F40" s="229"/>
      <c r="G40" s="91"/>
      <c r="H40" s="90"/>
      <c r="I40" s="89"/>
      <c r="J40" s="88"/>
      <c r="K40" s="88"/>
    </row>
    <row r="41" spans="1:11" ht="70.150000000000006" customHeight="1">
      <c r="A41" s="86"/>
      <c r="B41" s="95"/>
      <c r="C41" s="88"/>
      <c r="D41" s="228"/>
      <c r="E41" s="229"/>
      <c r="F41" s="229"/>
      <c r="G41" s="91"/>
      <c r="H41" s="90"/>
      <c r="I41" s="89"/>
      <c r="J41" s="88"/>
      <c r="K41" s="88"/>
    </row>
    <row r="42" spans="1:11" ht="70.150000000000006" customHeight="1">
      <c r="A42" s="86"/>
      <c r="B42" s="95"/>
      <c r="C42" s="88"/>
      <c r="D42" s="228"/>
      <c r="E42" s="229"/>
      <c r="F42" s="229"/>
      <c r="G42" s="91"/>
      <c r="H42" s="90"/>
      <c r="I42" s="89"/>
      <c r="J42" s="88"/>
      <c r="K42" s="88"/>
    </row>
    <row r="43" spans="1:11" ht="70.150000000000006" customHeight="1">
      <c r="A43" s="86"/>
      <c r="B43" s="95"/>
      <c r="C43" s="88"/>
      <c r="D43" s="228"/>
      <c r="E43" s="229"/>
      <c r="F43" s="229"/>
      <c r="G43" s="91"/>
      <c r="H43" s="90"/>
      <c r="I43" s="89"/>
      <c r="J43" s="88"/>
      <c r="K43" s="88"/>
    </row>
    <row r="44" spans="1:11" ht="70.150000000000006" customHeight="1">
      <c r="A44" s="86"/>
      <c r="B44" s="95"/>
      <c r="C44" s="88"/>
      <c r="D44" s="228"/>
      <c r="E44" s="229"/>
      <c r="F44" s="229"/>
      <c r="G44" s="91"/>
      <c r="H44" s="90"/>
      <c r="I44" s="89"/>
      <c r="J44" s="88"/>
      <c r="K44" s="88"/>
    </row>
    <row r="45" spans="1:11" ht="70.150000000000006" customHeight="1">
      <c r="A45" s="86"/>
      <c r="B45" s="95"/>
      <c r="C45" s="88"/>
      <c r="D45" s="228"/>
      <c r="E45" s="229"/>
      <c r="F45" s="229"/>
      <c r="G45" s="91"/>
      <c r="H45" s="90"/>
      <c r="I45" s="89"/>
      <c r="J45" s="88"/>
      <c r="K45" s="88"/>
    </row>
    <row r="46" spans="1:11" ht="70.150000000000006" customHeight="1">
      <c r="A46" s="86"/>
      <c r="B46" s="95"/>
      <c r="C46" s="88"/>
      <c r="D46" s="228"/>
      <c r="E46" s="229"/>
      <c r="F46" s="229"/>
      <c r="G46" s="91"/>
      <c r="H46" s="90"/>
      <c r="I46" s="89"/>
      <c r="J46" s="88"/>
      <c r="K46" s="88"/>
    </row>
    <row r="47" spans="1:11" ht="70.150000000000006" customHeight="1">
      <c r="A47" s="86"/>
      <c r="B47" s="95"/>
      <c r="C47" s="88"/>
      <c r="D47" s="228"/>
      <c r="E47" s="229"/>
      <c r="F47" s="229"/>
      <c r="G47" s="91"/>
      <c r="H47" s="90"/>
      <c r="I47" s="89"/>
      <c r="J47" s="88"/>
      <c r="K47" s="88"/>
    </row>
    <row r="48" spans="1:11" ht="70.150000000000006" customHeight="1">
      <c r="A48" s="86"/>
      <c r="B48" s="95"/>
      <c r="C48" s="88"/>
      <c r="D48" s="228"/>
      <c r="E48" s="229"/>
      <c r="F48" s="229"/>
      <c r="G48" s="91"/>
      <c r="H48" s="90"/>
      <c r="I48" s="89"/>
      <c r="J48" s="88"/>
      <c r="K48" s="88"/>
    </row>
    <row r="49" ht="12" customHeight="1"/>
    <row r="50" ht="12" customHeight="1"/>
    <row r="51" ht="12" customHeight="1"/>
    <row r="52" ht="12" customHeight="1"/>
  </sheetData>
  <mergeCells count="55">
    <mergeCell ref="B3:D3"/>
    <mergeCell ref="I3:K3"/>
    <mergeCell ref="B4:D4"/>
    <mergeCell ref="I4:K4"/>
    <mergeCell ref="B5:D5"/>
    <mergeCell ref="I5:K5"/>
    <mergeCell ref="I6:K6"/>
    <mergeCell ref="I7:K7"/>
    <mergeCell ref="A8:D8"/>
    <mergeCell ref="A11:K11"/>
    <mergeCell ref="A12:K12"/>
    <mergeCell ref="I9:I10"/>
    <mergeCell ref="J9:J10"/>
    <mergeCell ref="K9:K10"/>
    <mergeCell ref="D13:F13"/>
    <mergeCell ref="D14:F14"/>
    <mergeCell ref="D15:F15"/>
    <mergeCell ref="A16:K16"/>
    <mergeCell ref="D17:F17"/>
    <mergeCell ref="D18:F18"/>
    <mergeCell ref="D19:F19"/>
    <mergeCell ref="A20:K20"/>
    <mergeCell ref="D21:F21"/>
    <mergeCell ref="D22:F22"/>
    <mergeCell ref="D23:F23"/>
    <mergeCell ref="D24:F24"/>
    <mergeCell ref="A25:K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48:F48"/>
    <mergeCell ref="A9:A10"/>
    <mergeCell ref="B9:B10"/>
    <mergeCell ref="C9:C10"/>
    <mergeCell ref="H9:H10"/>
    <mergeCell ref="D9:G10"/>
    <mergeCell ref="D43:F43"/>
    <mergeCell ref="D44:F44"/>
    <mergeCell ref="D45:F45"/>
    <mergeCell ref="D46:F46"/>
    <mergeCell ref="D47:F47"/>
    <mergeCell ref="D38:F38"/>
    <mergeCell ref="D39:F39"/>
    <mergeCell ref="D40:F40"/>
    <mergeCell ref="D41:F41"/>
    <mergeCell ref="D42:F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115" zoomScaleNormal="115" workbookViewId="0">
      <selection activeCell="A11" sqref="A11:K11"/>
    </sheetView>
  </sheetViews>
  <sheetFormatPr defaultColWidth="9" defaultRowHeight="13.5"/>
  <cols>
    <col min="1" max="1" width="15.625" customWidth="1"/>
    <col min="2" max="2" width="27.5" customWidth="1"/>
    <col min="3" max="3" width="33" customWidth="1"/>
    <col min="6" max="6" width="12.875" customWidth="1"/>
    <col min="7" max="7" width="0.875" customWidth="1"/>
    <col min="9" max="9" width="7.5" customWidth="1"/>
  </cols>
  <sheetData>
    <row r="1" spans="1:11" ht="14.25">
      <c r="A1" s="62" t="s">
        <v>0</v>
      </c>
      <c r="B1" s="64" t="s">
        <v>403</v>
      </c>
      <c r="C1" s="63"/>
      <c r="D1" s="63"/>
      <c r="E1" s="63"/>
      <c r="F1" s="63"/>
      <c r="G1" s="63"/>
      <c r="H1" s="63"/>
      <c r="I1" s="63"/>
      <c r="J1" s="64"/>
      <c r="K1" s="63"/>
    </row>
    <row r="2" spans="1:11" ht="14.25">
      <c r="A2" s="65"/>
      <c r="B2" s="101"/>
      <c r="C2" s="101"/>
      <c r="D2" s="101"/>
      <c r="E2" s="63"/>
      <c r="F2" s="63"/>
      <c r="G2" s="63"/>
      <c r="H2" s="63"/>
      <c r="I2" s="63"/>
      <c r="J2" s="64"/>
      <c r="K2" s="63"/>
    </row>
    <row r="3" spans="1:11" ht="14.25" customHeight="1">
      <c r="A3" s="66" t="s">
        <v>61</v>
      </c>
      <c r="B3" s="213" t="s">
        <v>62</v>
      </c>
      <c r="C3" s="213"/>
      <c r="D3" s="214"/>
      <c r="E3" s="67"/>
      <c r="F3" s="67"/>
      <c r="G3" s="67"/>
      <c r="H3" s="67"/>
      <c r="I3" s="197"/>
      <c r="J3" s="197"/>
      <c r="K3" s="197"/>
    </row>
    <row r="4" spans="1:11" ht="13.5" customHeight="1">
      <c r="A4" s="70" t="s">
        <v>63</v>
      </c>
      <c r="B4" s="215" t="s">
        <v>404</v>
      </c>
      <c r="C4" s="216"/>
      <c r="D4" s="217"/>
      <c r="E4" s="67"/>
      <c r="F4" s="67"/>
      <c r="G4" s="67"/>
      <c r="H4" s="67"/>
      <c r="I4" s="197"/>
      <c r="J4" s="197"/>
      <c r="K4" s="197"/>
    </row>
    <row r="5" spans="1:11" ht="12.75" customHeight="1">
      <c r="A5" s="70" t="s">
        <v>65</v>
      </c>
      <c r="B5" s="218" t="s">
        <v>66</v>
      </c>
      <c r="C5" s="219"/>
      <c r="D5" s="220"/>
      <c r="E5" s="71"/>
      <c r="F5" s="71"/>
      <c r="G5" s="71"/>
      <c r="H5" s="71"/>
      <c r="I5" s="221"/>
      <c r="J5" s="221"/>
      <c r="K5" s="221"/>
    </row>
    <row r="6" spans="1:11" ht="14.25">
      <c r="A6" s="73" t="s">
        <v>67</v>
      </c>
      <c r="B6" s="74">
        <f>COUNTIF(J12:J21,"Pass")</f>
        <v>0</v>
      </c>
      <c r="C6" s="75" t="s">
        <v>68</v>
      </c>
      <c r="D6" s="76">
        <f>COUNTIF(J10:J740,"Pending")</f>
        <v>8</v>
      </c>
      <c r="E6" s="68"/>
      <c r="F6" s="68"/>
      <c r="G6" s="68"/>
      <c r="H6" s="68"/>
      <c r="I6" s="197"/>
      <c r="J6" s="197"/>
      <c r="K6" s="197"/>
    </row>
    <row r="7" spans="1:11" ht="14.25">
      <c r="A7" s="77" t="s">
        <v>69</v>
      </c>
      <c r="B7" s="78">
        <f>COUNTIF(J12:J21,"Fail")</f>
        <v>0</v>
      </c>
      <c r="C7" s="79" t="s">
        <v>70</v>
      </c>
      <c r="D7" s="80">
        <f>COUNTA(A12:A22)-3</f>
        <v>8</v>
      </c>
      <c r="E7" s="81"/>
      <c r="F7" s="81"/>
      <c r="G7" s="81"/>
      <c r="H7" s="81"/>
      <c r="I7" s="197"/>
      <c r="J7" s="197"/>
      <c r="K7" s="197"/>
    </row>
    <row r="8" spans="1:11" ht="14.25">
      <c r="A8" s="198"/>
      <c r="B8" s="198"/>
      <c r="C8" s="198"/>
      <c r="D8" s="198"/>
      <c r="E8" s="68"/>
      <c r="F8" s="68"/>
      <c r="G8" s="68"/>
      <c r="H8" s="68"/>
      <c r="I8" s="68"/>
      <c r="J8" s="82"/>
      <c r="K8" s="82"/>
    </row>
    <row r="9" spans="1:1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</row>
    <row r="10" spans="1:1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</row>
    <row r="11" spans="1:1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1">
      <c r="A12" s="188" t="s">
        <v>405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90"/>
    </row>
    <row r="13" spans="1:11" ht="52.5" customHeight="1">
      <c r="A13" s="108" t="s">
        <v>80</v>
      </c>
      <c r="B13" s="87" t="s">
        <v>406</v>
      </c>
      <c r="C13" s="87" t="s">
        <v>407</v>
      </c>
      <c r="D13" s="236" t="s">
        <v>408</v>
      </c>
      <c r="E13" s="237"/>
      <c r="F13" s="237"/>
      <c r="G13" s="111"/>
      <c r="H13" s="110"/>
      <c r="I13" s="112"/>
      <c r="J13" s="87" t="s">
        <v>68</v>
      </c>
      <c r="K13" s="87"/>
    </row>
    <row r="14" spans="1:11" ht="57" customHeight="1">
      <c r="A14" s="108" t="s">
        <v>85</v>
      </c>
      <c r="B14" s="87" t="s">
        <v>409</v>
      </c>
      <c r="C14" s="87" t="s">
        <v>407</v>
      </c>
      <c r="D14" s="236" t="s">
        <v>410</v>
      </c>
      <c r="E14" s="237"/>
      <c r="F14" s="237"/>
      <c r="G14" s="111"/>
      <c r="H14" s="110"/>
      <c r="I14" s="112"/>
      <c r="J14" s="87" t="s">
        <v>68</v>
      </c>
      <c r="K14" s="87"/>
    </row>
    <row r="15" spans="1:11">
      <c r="A15" s="238" t="s">
        <v>411</v>
      </c>
      <c r="B15" s="239"/>
      <c r="C15" s="239"/>
      <c r="D15" s="113"/>
      <c r="E15" s="113"/>
      <c r="F15" s="113"/>
      <c r="G15" s="113"/>
      <c r="H15" s="113"/>
      <c r="I15" s="113"/>
      <c r="J15" s="113"/>
      <c r="K15" s="114"/>
    </row>
    <row r="16" spans="1:11" ht="78" customHeight="1">
      <c r="A16" s="108" t="s">
        <v>90</v>
      </c>
      <c r="B16" s="115" t="s">
        <v>412</v>
      </c>
      <c r="C16" s="115" t="s">
        <v>413</v>
      </c>
      <c r="D16" s="236" t="s">
        <v>414</v>
      </c>
      <c r="E16" s="237"/>
      <c r="F16" s="237"/>
      <c r="G16" s="111"/>
      <c r="H16" s="110"/>
      <c r="I16" s="109"/>
      <c r="J16" s="87" t="s">
        <v>68</v>
      </c>
      <c r="K16" s="87"/>
    </row>
    <row r="17" spans="1:11" ht="40.5" customHeight="1">
      <c r="A17" s="108" t="s">
        <v>95</v>
      </c>
      <c r="B17" s="115" t="s">
        <v>415</v>
      </c>
      <c r="C17" s="115" t="s">
        <v>416</v>
      </c>
      <c r="D17" s="236" t="s">
        <v>417</v>
      </c>
      <c r="E17" s="237"/>
      <c r="F17" s="237"/>
      <c r="G17" s="111"/>
      <c r="H17" s="110"/>
      <c r="I17" s="109"/>
      <c r="J17" s="87" t="s">
        <v>68</v>
      </c>
      <c r="K17" s="87"/>
    </row>
    <row r="18" spans="1:11" ht="54.75" customHeight="1">
      <c r="A18" s="108" t="s">
        <v>100</v>
      </c>
      <c r="B18" s="115" t="s">
        <v>418</v>
      </c>
      <c r="C18" s="115" t="s">
        <v>419</v>
      </c>
      <c r="D18" s="236" t="s">
        <v>420</v>
      </c>
      <c r="E18" s="237"/>
      <c r="F18" s="237"/>
      <c r="G18" s="111"/>
      <c r="H18" s="110"/>
      <c r="I18" s="109"/>
      <c r="J18" s="87" t="s">
        <v>68</v>
      </c>
      <c r="K18" s="87"/>
    </row>
    <row r="19" spans="1:11" ht="105.75" customHeight="1">
      <c r="A19" s="108" t="s">
        <v>104</v>
      </c>
      <c r="B19" s="115" t="s">
        <v>421</v>
      </c>
      <c r="C19" s="115" t="s">
        <v>422</v>
      </c>
      <c r="D19" s="236" t="s">
        <v>423</v>
      </c>
      <c r="E19" s="237"/>
      <c r="F19" s="237"/>
      <c r="G19" s="111"/>
      <c r="H19" s="110"/>
      <c r="I19" s="109"/>
      <c r="J19" s="87" t="s">
        <v>68</v>
      </c>
      <c r="K19" s="87"/>
    </row>
    <row r="20" spans="1:11">
      <c r="A20" s="238" t="s">
        <v>424</v>
      </c>
      <c r="B20" s="239"/>
      <c r="C20" s="239"/>
      <c r="D20" s="113"/>
      <c r="E20" s="113"/>
      <c r="F20" s="113"/>
      <c r="G20" s="113"/>
      <c r="H20" s="113"/>
      <c r="I20" s="113"/>
      <c r="J20" s="113"/>
      <c r="K20" s="114"/>
    </row>
    <row r="21" spans="1:11" ht="65.25" customHeight="1">
      <c r="A21" s="108" t="s">
        <v>109</v>
      </c>
      <c r="B21" s="87" t="s">
        <v>425</v>
      </c>
      <c r="C21" s="87" t="s">
        <v>426</v>
      </c>
      <c r="D21" s="236" t="s">
        <v>427</v>
      </c>
      <c r="E21" s="240"/>
      <c r="F21" s="240"/>
      <c r="G21" s="111"/>
      <c r="H21" s="110"/>
      <c r="I21" s="109"/>
      <c r="J21" s="87" t="s">
        <v>68</v>
      </c>
      <c r="K21" s="87"/>
    </row>
    <row r="22" spans="1:11" ht="69.95" customHeight="1">
      <c r="A22" s="108" t="s">
        <v>113</v>
      </c>
      <c r="B22" s="87" t="s">
        <v>428</v>
      </c>
      <c r="C22" s="87" t="s">
        <v>429</v>
      </c>
      <c r="D22" s="236" t="s">
        <v>430</v>
      </c>
      <c r="E22" s="240"/>
      <c r="F22" s="240"/>
      <c r="G22" s="111"/>
      <c r="H22" s="110"/>
      <c r="I22" s="109"/>
      <c r="J22" s="87" t="s">
        <v>68</v>
      </c>
      <c r="K22" s="87"/>
    </row>
  </sheetData>
  <mergeCells count="29">
    <mergeCell ref="B3:D3"/>
    <mergeCell ref="I3:K3"/>
    <mergeCell ref="B4:D4"/>
    <mergeCell ref="I4:K4"/>
    <mergeCell ref="B5:D5"/>
    <mergeCell ref="I5:K5"/>
    <mergeCell ref="I6:K6"/>
    <mergeCell ref="I7:K7"/>
    <mergeCell ref="A8:D8"/>
    <mergeCell ref="A11:K11"/>
    <mergeCell ref="A12:K12"/>
    <mergeCell ref="A9:A10"/>
    <mergeCell ref="B9:B10"/>
    <mergeCell ref="C9:C10"/>
    <mergeCell ref="H9:H10"/>
    <mergeCell ref="I9:I10"/>
    <mergeCell ref="J9:J10"/>
    <mergeCell ref="K9:K10"/>
    <mergeCell ref="D9:G10"/>
    <mergeCell ref="D13:F13"/>
    <mergeCell ref="D14:F14"/>
    <mergeCell ref="A15:C15"/>
    <mergeCell ref="D16:F16"/>
    <mergeCell ref="D17:F17"/>
    <mergeCell ref="D18:F18"/>
    <mergeCell ref="D19:F19"/>
    <mergeCell ref="A20:C20"/>
    <mergeCell ref="D21:F21"/>
    <mergeCell ref="D22:F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zoomScale="83" zoomScaleNormal="83" workbookViewId="0">
      <selection activeCell="F6" sqref="F6"/>
    </sheetView>
  </sheetViews>
  <sheetFormatPr defaultColWidth="8.75" defaultRowHeight="14.25" outlineLevelRow="1"/>
  <cols>
    <col min="1" max="1" width="15.625" customWidth="1"/>
    <col min="2" max="2" width="18.125" customWidth="1"/>
    <col min="3" max="3" width="42.125" customWidth="1"/>
    <col min="6" max="6" width="23.625" customWidth="1"/>
    <col min="7" max="7" width="18.5" hidden="1" customWidth="1"/>
    <col min="8" max="8" width="38" customWidth="1"/>
    <col min="9" max="9" width="17.125" customWidth="1"/>
    <col min="10" max="10" width="8.75" style="5"/>
    <col min="11" max="11" width="18" customWidth="1"/>
  </cols>
  <sheetData>
    <row r="1" spans="1:12" s="56" customFormat="1" ht="12.75" customHeight="1">
      <c r="A1" s="62" t="s">
        <v>0</v>
      </c>
      <c r="B1" s="64" t="s">
        <v>220</v>
      </c>
      <c r="C1" s="63"/>
      <c r="D1" s="63"/>
      <c r="E1" s="63"/>
      <c r="F1" s="63"/>
      <c r="G1" s="63"/>
      <c r="H1" s="63"/>
      <c r="I1" s="63"/>
      <c r="J1" s="64"/>
      <c r="K1" s="63"/>
      <c r="L1" s="65"/>
    </row>
    <row r="2" spans="1:12" s="56" customFormat="1" ht="11.25" customHeight="1">
      <c r="A2" s="65"/>
      <c r="B2" s="101"/>
      <c r="C2" s="101"/>
      <c r="D2" s="101"/>
      <c r="E2" s="63"/>
      <c r="F2" s="63"/>
      <c r="G2" s="63"/>
      <c r="H2" s="63"/>
      <c r="I2" s="63"/>
      <c r="J2" s="64"/>
      <c r="K2" s="63"/>
      <c r="L2" s="65"/>
    </row>
    <row r="3" spans="1:12" s="57" customFormat="1" ht="15" customHeight="1">
      <c r="A3" s="102" t="s">
        <v>61</v>
      </c>
      <c r="B3" s="213" t="s">
        <v>62</v>
      </c>
      <c r="C3" s="213"/>
      <c r="D3" s="214"/>
      <c r="E3" s="67"/>
      <c r="F3" s="67"/>
      <c r="G3" s="67"/>
      <c r="H3" s="67"/>
      <c r="I3" s="197"/>
      <c r="J3" s="197"/>
      <c r="K3" s="197"/>
      <c r="L3" s="69"/>
    </row>
    <row r="4" spans="1:12" s="57" customFormat="1" ht="13.15" customHeight="1">
      <c r="A4" s="70" t="s">
        <v>63</v>
      </c>
      <c r="B4" s="215" t="s">
        <v>431</v>
      </c>
      <c r="C4" s="216"/>
      <c r="D4" s="217"/>
      <c r="E4" s="67"/>
      <c r="F4" s="67"/>
      <c r="G4" s="67"/>
      <c r="H4" s="67"/>
      <c r="I4" s="197"/>
      <c r="J4" s="197"/>
      <c r="K4" s="197"/>
      <c r="L4" s="69"/>
    </row>
    <row r="5" spans="1:12" s="58" customFormat="1" ht="25.5">
      <c r="A5" s="103" t="s">
        <v>65</v>
      </c>
      <c r="B5" s="218" t="s">
        <v>66</v>
      </c>
      <c r="C5" s="219"/>
      <c r="D5" s="220"/>
      <c r="E5" s="71"/>
      <c r="F5" s="71"/>
      <c r="G5" s="71"/>
      <c r="H5" s="71"/>
      <c r="I5" s="221"/>
      <c r="J5" s="221"/>
      <c r="K5" s="221"/>
      <c r="L5" s="72"/>
    </row>
    <row r="6" spans="1:12" s="57" customFormat="1" ht="15" customHeight="1">
      <c r="A6" s="73" t="s">
        <v>67</v>
      </c>
      <c r="B6" s="74">
        <f>COUNTIF(J12:J23,"Pass")</f>
        <v>0</v>
      </c>
      <c r="C6" s="75" t="s">
        <v>68</v>
      </c>
      <c r="D6" s="76">
        <f>COUNTIF(J10:J741,"Pending")</f>
        <v>0</v>
      </c>
      <c r="E6" s="68"/>
      <c r="F6" s="68"/>
      <c r="G6" s="68"/>
      <c r="H6" s="68"/>
      <c r="I6" s="197"/>
      <c r="J6" s="197"/>
      <c r="K6" s="197"/>
      <c r="L6" s="69"/>
    </row>
    <row r="7" spans="1:12" s="57" customFormat="1" ht="15" customHeight="1">
      <c r="A7" s="77" t="s">
        <v>69</v>
      </c>
      <c r="B7" s="78">
        <f>COUNTIF(J12:J23,"Fail")</f>
        <v>0</v>
      </c>
      <c r="C7" s="79" t="s">
        <v>70</v>
      </c>
      <c r="D7" s="80">
        <f>COUNTA(A12:A32)-4</f>
        <v>17</v>
      </c>
      <c r="E7" s="81"/>
      <c r="F7" s="81"/>
      <c r="G7" s="81"/>
      <c r="H7" s="81"/>
      <c r="I7" s="197"/>
      <c r="J7" s="197"/>
      <c r="K7" s="197"/>
      <c r="L7" s="69"/>
    </row>
    <row r="8" spans="1:12" s="57" customFormat="1" ht="15" customHeight="1">
      <c r="A8" s="198"/>
      <c r="B8" s="198"/>
      <c r="C8" s="198"/>
      <c r="D8" s="198"/>
      <c r="F8" s="68"/>
      <c r="G8" s="68"/>
      <c r="H8" s="68"/>
      <c r="I8" s="68"/>
      <c r="J8" s="82"/>
      <c r="K8" s="82"/>
      <c r="L8" s="69"/>
    </row>
    <row r="9" spans="1:12" s="59" customFormat="1" ht="12" customHeight="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  <c r="L9" s="83"/>
    </row>
    <row r="10" spans="1:12" s="57" customFormat="1" ht="12" customHeight="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  <c r="L10" s="69"/>
    </row>
    <row r="11" spans="1:12" s="60" customFormat="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2" s="61" customFormat="1" ht="29.45" customHeight="1">
      <c r="A12" s="241" t="s">
        <v>432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90"/>
    </row>
    <row r="13" spans="1:12" s="61" customFormat="1" ht="69" customHeight="1" outlineLevel="1">
      <c r="A13" s="104" t="s">
        <v>80</v>
      </c>
      <c r="B13" s="105" t="s">
        <v>433</v>
      </c>
      <c r="C13" s="105" t="s">
        <v>434</v>
      </c>
      <c r="D13" s="179" t="s">
        <v>435</v>
      </c>
      <c r="E13" s="180"/>
      <c r="F13" s="180"/>
      <c r="G13" s="91"/>
      <c r="H13" s="90"/>
      <c r="I13" s="92"/>
      <c r="J13" s="88"/>
      <c r="K13" s="88"/>
    </row>
    <row r="14" spans="1:12" s="61" customFormat="1" ht="63.75" customHeight="1" outlineLevel="1">
      <c r="A14" s="106" t="s">
        <v>85</v>
      </c>
      <c r="B14" s="107" t="s">
        <v>436</v>
      </c>
      <c r="C14" s="107" t="s">
        <v>437</v>
      </c>
      <c r="D14" s="179" t="s">
        <v>438</v>
      </c>
      <c r="E14" s="180"/>
      <c r="F14" s="180"/>
      <c r="G14" s="91"/>
      <c r="H14" s="90"/>
      <c r="I14" s="89"/>
      <c r="J14" s="88"/>
      <c r="K14" s="88"/>
    </row>
    <row r="15" spans="1:12" s="61" customFormat="1" ht="70.150000000000006" customHeight="1" outlineLevel="1">
      <c r="A15" s="104" t="s">
        <v>90</v>
      </c>
      <c r="B15" s="105" t="s">
        <v>439</v>
      </c>
      <c r="C15" s="105" t="s">
        <v>440</v>
      </c>
      <c r="D15" s="179" t="s">
        <v>441</v>
      </c>
      <c r="E15" s="180"/>
      <c r="F15" s="180"/>
      <c r="G15" s="91"/>
      <c r="H15" s="90"/>
      <c r="I15" s="89"/>
      <c r="J15" s="88"/>
      <c r="K15" s="88"/>
    </row>
    <row r="16" spans="1:12" ht="32.450000000000003" customHeight="1">
      <c r="A16" s="241" t="s">
        <v>442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1:11" ht="70.150000000000006" customHeight="1">
      <c r="A17" s="106" t="s">
        <v>95</v>
      </c>
      <c r="B17" s="107" t="s">
        <v>443</v>
      </c>
      <c r="C17" s="107" t="s">
        <v>444</v>
      </c>
      <c r="D17" s="179" t="s">
        <v>445</v>
      </c>
      <c r="E17" s="180"/>
      <c r="F17" s="180"/>
      <c r="G17" s="91"/>
      <c r="H17" s="90"/>
      <c r="I17" s="89"/>
      <c r="J17" s="88"/>
      <c r="K17" s="88"/>
    </row>
    <row r="18" spans="1:11" ht="70.150000000000006" customHeight="1">
      <c r="A18" s="104" t="s">
        <v>100</v>
      </c>
      <c r="B18" s="105" t="s">
        <v>446</v>
      </c>
      <c r="C18" s="105" t="s">
        <v>447</v>
      </c>
      <c r="D18" s="179" t="s">
        <v>448</v>
      </c>
      <c r="E18" s="180"/>
      <c r="F18" s="180"/>
      <c r="G18" s="91"/>
      <c r="H18" s="90"/>
      <c r="I18" s="89"/>
      <c r="J18" s="88"/>
      <c r="K18" s="88"/>
    </row>
    <row r="19" spans="1:11" ht="70.150000000000006" customHeight="1">
      <c r="A19" s="106" t="s">
        <v>104</v>
      </c>
      <c r="B19" s="107" t="s">
        <v>449</v>
      </c>
      <c r="C19" s="107" t="s">
        <v>450</v>
      </c>
      <c r="D19" s="179" t="s">
        <v>451</v>
      </c>
      <c r="E19" s="180"/>
      <c r="F19" s="180"/>
      <c r="G19" s="91"/>
      <c r="H19" s="90"/>
      <c r="I19" s="89"/>
      <c r="J19" s="88"/>
      <c r="K19" s="88"/>
    </row>
    <row r="20" spans="1:11" ht="70.150000000000006" customHeight="1">
      <c r="A20" s="104" t="s">
        <v>109</v>
      </c>
      <c r="B20" s="105" t="s">
        <v>452</v>
      </c>
      <c r="C20" s="105" t="s">
        <v>453</v>
      </c>
      <c r="D20" s="179" t="s">
        <v>454</v>
      </c>
      <c r="E20" s="180"/>
      <c r="F20" s="180"/>
      <c r="G20" s="91"/>
      <c r="H20" s="90"/>
      <c r="I20" s="89"/>
      <c r="J20" s="88"/>
      <c r="K20" s="88"/>
    </row>
    <row r="21" spans="1:11" ht="70.150000000000006" customHeight="1">
      <c r="A21" s="106" t="s">
        <v>113</v>
      </c>
      <c r="B21" s="107" t="s">
        <v>455</v>
      </c>
      <c r="C21" s="107" t="s">
        <v>456</v>
      </c>
      <c r="D21" s="179" t="s">
        <v>457</v>
      </c>
      <c r="E21" s="180"/>
      <c r="F21" s="180"/>
      <c r="G21" s="91"/>
      <c r="H21" s="90"/>
      <c r="I21" s="89"/>
      <c r="J21" s="88"/>
      <c r="K21" s="88"/>
    </row>
    <row r="22" spans="1:11" ht="31.9" customHeight="1">
      <c r="A22" s="241" t="s">
        <v>458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90"/>
    </row>
    <row r="23" spans="1:11" ht="70.150000000000006" customHeight="1">
      <c r="A23" s="104" t="s">
        <v>118</v>
      </c>
      <c r="B23" s="105" t="s">
        <v>459</v>
      </c>
      <c r="C23" s="105" t="s">
        <v>460</v>
      </c>
      <c r="D23" s="179" t="s">
        <v>461</v>
      </c>
      <c r="E23" s="180"/>
      <c r="F23" s="180"/>
      <c r="G23" s="91"/>
      <c r="H23" s="90"/>
      <c r="I23" s="89"/>
      <c r="J23" s="88"/>
      <c r="K23" s="88"/>
    </row>
    <row r="24" spans="1:11" ht="70.150000000000006" customHeight="1">
      <c r="A24" s="106" t="s">
        <v>122</v>
      </c>
      <c r="B24" s="107" t="s">
        <v>462</v>
      </c>
      <c r="C24" s="107" t="s">
        <v>463</v>
      </c>
      <c r="D24" s="179" t="s">
        <v>464</v>
      </c>
      <c r="E24" s="180"/>
      <c r="F24" s="180"/>
      <c r="G24" s="91"/>
      <c r="H24" s="90"/>
      <c r="I24" s="89"/>
      <c r="J24" s="88"/>
      <c r="K24" s="88"/>
    </row>
    <row r="25" spans="1:11" ht="70.150000000000006" customHeight="1">
      <c r="A25" s="104" t="s">
        <v>126</v>
      </c>
      <c r="B25" s="105" t="s">
        <v>465</v>
      </c>
      <c r="C25" s="105" t="s">
        <v>466</v>
      </c>
      <c r="D25" s="179" t="s">
        <v>467</v>
      </c>
      <c r="E25" s="180"/>
      <c r="F25" s="180"/>
      <c r="G25" s="91"/>
      <c r="H25" s="90"/>
      <c r="I25" s="89"/>
      <c r="J25" s="88"/>
      <c r="K25" s="88"/>
    </row>
    <row r="26" spans="1:11" ht="70.150000000000006" customHeight="1">
      <c r="A26" s="106" t="s">
        <v>161</v>
      </c>
      <c r="B26" s="107" t="s">
        <v>468</v>
      </c>
      <c r="C26" s="107" t="s">
        <v>469</v>
      </c>
      <c r="D26" s="179" t="s">
        <v>470</v>
      </c>
      <c r="E26" s="180"/>
      <c r="F26" s="180"/>
      <c r="G26" s="91"/>
      <c r="H26" s="90"/>
      <c r="I26" s="89"/>
      <c r="J26" s="88"/>
      <c r="K26" s="88"/>
    </row>
    <row r="27" spans="1:11" ht="70.150000000000006" customHeight="1">
      <c r="A27" s="104" t="s">
        <v>298</v>
      </c>
      <c r="B27" s="105" t="s">
        <v>471</v>
      </c>
      <c r="C27" s="105" t="s">
        <v>472</v>
      </c>
      <c r="D27" s="179" t="s">
        <v>473</v>
      </c>
      <c r="E27" s="180"/>
      <c r="F27" s="180"/>
      <c r="G27" s="91"/>
      <c r="H27" s="90"/>
      <c r="I27" s="89"/>
      <c r="J27" s="88"/>
      <c r="K27" s="88"/>
    </row>
    <row r="28" spans="1:11" ht="70.150000000000006" customHeight="1">
      <c r="A28" s="106" t="s">
        <v>302</v>
      </c>
      <c r="B28" s="107" t="s">
        <v>474</v>
      </c>
      <c r="C28" s="107" t="s">
        <v>475</v>
      </c>
      <c r="D28" s="179" t="s">
        <v>476</v>
      </c>
      <c r="E28" s="180"/>
      <c r="F28" s="180"/>
      <c r="G28" s="91"/>
      <c r="H28" s="90"/>
      <c r="I28" s="89"/>
      <c r="J28" s="88"/>
      <c r="K28" s="88"/>
    </row>
    <row r="29" spans="1:11" ht="70.150000000000006" customHeight="1">
      <c r="A29" s="104" t="s">
        <v>307</v>
      </c>
      <c r="B29" s="105" t="s">
        <v>477</v>
      </c>
      <c r="C29" s="105" t="s">
        <v>478</v>
      </c>
      <c r="D29" s="179" t="s">
        <v>479</v>
      </c>
      <c r="E29" s="180"/>
      <c r="F29" s="180"/>
      <c r="G29" s="91"/>
      <c r="H29" s="90"/>
      <c r="I29" s="89"/>
      <c r="J29" s="88"/>
      <c r="K29" s="88"/>
    </row>
    <row r="30" spans="1:11" ht="31.9" customHeight="1">
      <c r="A30" s="241" t="s">
        <v>480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90"/>
    </row>
    <row r="31" spans="1:11" ht="70.150000000000006" customHeight="1">
      <c r="A31" s="106" t="s">
        <v>311</v>
      </c>
      <c r="B31" s="107" t="s">
        <v>481</v>
      </c>
      <c r="C31" s="107" t="s">
        <v>482</v>
      </c>
      <c r="D31" s="179" t="s">
        <v>483</v>
      </c>
      <c r="E31" s="180"/>
      <c r="F31" s="180"/>
      <c r="G31" s="91"/>
      <c r="H31" s="90"/>
      <c r="I31" s="89"/>
      <c r="J31" s="88"/>
      <c r="K31" s="88"/>
    </row>
    <row r="32" spans="1:11" ht="70.150000000000006" customHeight="1">
      <c r="A32" s="104" t="s">
        <v>315</v>
      </c>
      <c r="B32" s="105" t="s">
        <v>484</v>
      </c>
      <c r="C32" s="105" t="s">
        <v>485</v>
      </c>
      <c r="D32" s="179" t="s">
        <v>486</v>
      </c>
      <c r="E32" s="180"/>
      <c r="F32" s="180"/>
      <c r="G32" s="91"/>
      <c r="H32" s="90"/>
      <c r="I32" s="89"/>
      <c r="J32" s="88"/>
      <c r="K32" s="88"/>
    </row>
    <row r="33" spans="1:11" ht="70.150000000000006" customHeight="1">
      <c r="A33" s="86"/>
      <c r="B33" s="95"/>
      <c r="C33" s="88"/>
      <c r="D33" s="228"/>
      <c r="E33" s="229"/>
      <c r="F33" s="229"/>
      <c r="G33" s="91"/>
      <c r="H33" s="90"/>
      <c r="I33" s="89"/>
      <c r="J33" s="88"/>
      <c r="K33" s="88"/>
    </row>
    <row r="34" spans="1:11" ht="70.150000000000006" customHeight="1">
      <c r="A34" s="86"/>
      <c r="B34" s="95"/>
      <c r="C34" s="88"/>
      <c r="D34" s="228"/>
      <c r="E34" s="229"/>
      <c r="F34" s="229"/>
      <c r="G34" s="91"/>
      <c r="H34" s="90"/>
      <c r="I34" s="89"/>
      <c r="J34" s="88"/>
      <c r="K34" s="88"/>
    </row>
    <row r="35" spans="1:11" ht="70.150000000000006" customHeight="1">
      <c r="A35" s="86"/>
      <c r="B35" s="95"/>
      <c r="C35" s="88"/>
      <c r="D35" s="228"/>
      <c r="E35" s="229"/>
      <c r="F35" s="229"/>
      <c r="G35" s="91"/>
      <c r="H35" s="90"/>
      <c r="I35" s="89"/>
      <c r="J35" s="88"/>
      <c r="K35" s="88"/>
    </row>
    <row r="36" spans="1:11" ht="70.150000000000006" customHeight="1">
      <c r="A36" s="86"/>
      <c r="B36" s="95"/>
      <c r="C36" s="88"/>
      <c r="D36" s="228"/>
      <c r="E36" s="229"/>
      <c r="F36" s="229"/>
      <c r="G36" s="91"/>
      <c r="H36" s="90"/>
      <c r="I36" s="89"/>
      <c r="J36" s="88"/>
      <c r="K36" s="88"/>
    </row>
    <row r="37" spans="1:11" ht="70.150000000000006" customHeight="1">
      <c r="A37" s="86"/>
      <c r="B37" s="95"/>
      <c r="C37" s="88"/>
      <c r="D37" s="228"/>
      <c r="E37" s="229"/>
      <c r="F37" s="229"/>
      <c r="G37" s="91"/>
      <c r="H37" s="90"/>
      <c r="I37" s="89"/>
      <c r="J37" s="88"/>
      <c r="K37" s="88"/>
    </row>
    <row r="38" spans="1:11" ht="70.150000000000006" customHeight="1">
      <c r="A38" s="86"/>
      <c r="B38" s="95"/>
      <c r="C38" s="88"/>
      <c r="D38" s="228"/>
      <c r="E38" s="229"/>
      <c r="F38" s="229"/>
      <c r="G38" s="91"/>
      <c r="H38" s="90"/>
      <c r="I38" s="89"/>
      <c r="J38" s="88"/>
      <c r="K38" s="88"/>
    </row>
    <row r="39" spans="1:11" ht="70.150000000000006" customHeight="1">
      <c r="A39" s="86"/>
      <c r="B39" s="95"/>
      <c r="C39" s="88"/>
      <c r="D39" s="228"/>
      <c r="E39" s="229"/>
      <c r="F39" s="229"/>
      <c r="G39" s="91"/>
      <c r="H39" s="90"/>
      <c r="I39" s="89"/>
      <c r="J39" s="88"/>
      <c r="K39" s="88"/>
    </row>
    <row r="40" spans="1:11" ht="70.150000000000006" customHeight="1">
      <c r="A40" s="86"/>
      <c r="B40" s="95"/>
      <c r="C40" s="88"/>
      <c r="D40" s="228"/>
      <c r="E40" s="229"/>
      <c r="F40" s="229"/>
      <c r="G40" s="91"/>
      <c r="H40" s="90"/>
      <c r="I40" s="89"/>
      <c r="J40" s="88"/>
      <c r="K40" s="88"/>
    </row>
    <row r="41" spans="1:11" ht="70.150000000000006" customHeight="1">
      <c r="A41" s="86"/>
      <c r="B41" s="95"/>
      <c r="C41" s="88"/>
      <c r="D41" s="228"/>
      <c r="E41" s="229"/>
      <c r="F41" s="229"/>
      <c r="G41" s="91"/>
      <c r="H41" s="90"/>
      <c r="I41" s="89"/>
      <c r="J41" s="88"/>
      <c r="K41" s="88"/>
    </row>
    <row r="42" spans="1:11" ht="70.150000000000006" customHeight="1">
      <c r="A42" s="86"/>
      <c r="B42" s="95"/>
      <c r="C42" s="88"/>
      <c r="D42" s="228"/>
      <c r="E42" s="229"/>
      <c r="F42" s="229"/>
      <c r="G42" s="91"/>
      <c r="H42" s="90"/>
      <c r="I42" s="89"/>
      <c r="J42" s="88"/>
      <c r="K42" s="88"/>
    </row>
    <row r="43" spans="1:11" ht="70.150000000000006" customHeight="1">
      <c r="A43" s="86"/>
      <c r="B43" s="95"/>
      <c r="C43" s="88"/>
      <c r="D43" s="228"/>
      <c r="E43" s="229"/>
      <c r="F43" s="229"/>
      <c r="G43" s="91"/>
      <c r="H43" s="90"/>
      <c r="I43" s="89"/>
      <c r="J43" s="88"/>
      <c r="K43" s="88"/>
    </row>
    <row r="44" spans="1:11" ht="70.150000000000006" customHeight="1">
      <c r="A44" s="86"/>
      <c r="B44" s="95"/>
      <c r="C44" s="88"/>
      <c r="D44" s="228"/>
      <c r="E44" s="229"/>
      <c r="F44" s="229"/>
      <c r="G44" s="91"/>
      <c r="H44" s="90"/>
      <c r="I44" s="89"/>
      <c r="J44" s="88"/>
      <c r="K44" s="88"/>
    </row>
    <row r="45" spans="1:11" ht="70.150000000000006" customHeight="1">
      <c r="A45" s="86"/>
      <c r="B45" s="95"/>
      <c r="C45" s="88"/>
      <c r="D45" s="228"/>
      <c r="E45" s="229"/>
      <c r="F45" s="229"/>
      <c r="G45" s="91"/>
      <c r="H45" s="90"/>
      <c r="I45" s="89"/>
      <c r="J45" s="88"/>
      <c r="K45" s="88"/>
    </row>
    <row r="46" spans="1:11" ht="70.150000000000006" customHeight="1">
      <c r="A46" s="86"/>
      <c r="B46" s="95"/>
      <c r="C46" s="88"/>
      <c r="D46" s="228"/>
      <c r="E46" s="229"/>
      <c r="F46" s="229"/>
      <c r="G46" s="91"/>
      <c r="H46" s="90"/>
      <c r="I46" s="89"/>
      <c r="J46" s="88"/>
      <c r="K46" s="88"/>
    </row>
    <row r="47" spans="1:11" ht="70.150000000000006" customHeight="1">
      <c r="A47" s="86"/>
      <c r="B47" s="95"/>
      <c r="C47" s="88"/>
      <c r="D47" s="228"/>
      <c r="E47" s="229"/>
      <c r="F47" s="229"/>
      <c r="G47" s="91"/>
      <c r="H47" s="90"/>
      <c r="I47" s="89"/>
      <c r="J47" s="88"/>
      <c r="K47" s="88"/>
    </row>
    <row r="48" spans="1:11" ht="70.150000000000006" customHeight="1">
      <c r="A48" s="86"/>
      <c r="B48" s="95"/>
      <c r="C48" s="88"/>
      <c r="D48" s="228"/>
      <c r="E48" s="229"/>
      <c r="F48" s="229"/>
      <c r="G48" s="91"/>
      <c r="H48" s="90"/>
      <c r="I48" s="89"/>
      <c r="J48" s="88"/>
      <c r="K48" s="88"/>
    </row>
    <row r="49" spans="1:11" ht="70.150000000000006" customHeight="1">
      <c r="A49" s="86"/>
      <c r="B49" s="95"/>
      <c r="C49" s="88"/>
      <c r="D49" s="228"/>
      <c r="E49" s="229"/>
      <c r="F49" s="229"/>
      <c r="G49" s="91"/>
      <c r="H49" s="90"/>
      <c r="I49" s="89"/>
      <c r="J49" s="88"/>
      <c r="K49" s="88"/>
    </row>
    <row r="50" spans="1:11" ht="70.150000000000006" customHeight="1">
      <c r="A50" s="86"/>
      <c r="B50" s="95"/>
      <c r="C50" s="88"/>
      <c r="D50" s="228"/>
      <c r="E50" s="229"/>
      <c r="F50" s="229"/>
      <c r="G50" s="91"/>
      <c r="H50" s="90"/>
      <c r="I50" s="89"/>
      <c r="J50" s="88"/>
      <c r="K50" s="88"/>
    </row>
    <row r="51" spans="1:11" ht="70.150000000000006" customHeight="1">
      <c r="A51" s="86"/>
      <c r="B51" s="95"/>
      <c r="C51" s="88"/>
      <c r="D51" s="228"/>
      <c r="E51" s="229"/>
      <c r="F51" s="229"/>
      <c r="G51" s="91"/>
      <c r="H51" s="90"/>
      <c r="I51" s="89"/>
      <c r="J51" s="88"/>
      <c r="K51" s="88"/>
    </row>
    <row r="52" spans="1:11" ht="70.150000000000006" customHeight="1">
      <c r="A52" s="86"/>
      <c r="B52" s="95"/>
      <c r="C52" s="88"/>
      <c r="D52" s="228"/>
      <c r="E52" s="229"/>
      <c r="F52" s="229"/>
      <c r="G52" s="91"/>
      <c r="H52" s="90"/>
      <c r="I52" s="89"/>
      <c r="J52" s="88"/>
      <c r="K52" s="88"/>
    </row>
    <row r="53" spans="1:11" ht="70.150000000000006" customHeight="1">
      <c r="A53" s="86"/>
      <c r="B53" s="95"/>
      <c r="C53" s="88"/>
      <c r="D53" s="228"/>
      <c r="E53" s="229"/>
      <c r="F53" s="229"/>
      <c r="G53" s="91"/>
      <c r="H53" s="90"/>
      <c r="I53" s="89"/>
      <c r="J53" s="88"/>
      <c r="K53" s="88"/>
    </row>
    <row r="54" spans="1:11" ht="70.150000000000006" customHeight="1">
      <c r="A54" s="86"/>
      <c r="B54" s="95"/>
      <c r="C54" s="88"/>
      <c r="D54" s="228"/>
      <c r="E54" s="229"/>
      <c r="F54" s="229"/>
      <c r="G54" s="91"/>
      <c r="H54" s="90"/>
      <c r="I54" s="89"/>
      <c r="J54" s="88"/>
      <c r="K54" s="88"/>
    </row>
    <row r="55" spans="1:11" ht="70.150000000000006" customHeight="1">
      <c r="A55" s="86"/>
      <c r="B55" s="95"/>
      <c r="C55" s="88"/>
      <c r="D55" s="228"/>
      <c r="E55" s="229"/>
      <c r="F55" s="229"/>
      <c r="G55" s="91"/>
      <c r="H55" s="90"/>
      <c r="I55" s="89"/>
      <c r="J55" s="88"/>
      <c r="K55" s="88"/>
    </row>
    <row r="56" spans="1:11" ht="70.150000000000006" customHeight="1">
      <c r="A56" s="86"/>
      <c r="B56" s="95"/>
      <c r="C56" s="88"/>
      <c r="D56" s="228"/>
      <c r="E56" s="229"/>
      <c r="F56" s="229"/>
      <c r="G56" s="91"/>
      <c r="H56" s="90"/>
      <c r="I56" s="89"/>
      <c r="J56" s="88"/>
      <c r="K56" s="88"/>
    </row>
    <row r="57" spans="1:11" ht="70.150000000000006" customHeight="1">
      <c r="A57" s="86"/>
      <c r="B57" s="95"/>
      <c r="C57" s="88"/>
      <c r="D57" s="228"/>
      <c r="E57" s="229"/>
      <c r="F57" s="229"/>
      <c r="G57" s="91"/>
      <c r="H57" s="90"/>
      <c r="I57" s="89"/>
      <c r="J57" s="88"/>
      <c r="K57" s="88"/>
    </row>
    <row r="58" spans="1:11" ht="70.150000000000006" customHeight="1">
      <c r="A58" s="86"/>
      <c r="B58" s="95"/>
      <c r="C58" s="88"/>
      <c r="D58" s="228"/>
      <c r="E58" s="229"/>
      <c r="F58" s="229"/>
      <c r="G58" s="91"/>
      <c r="H58" s="90"/>
      <c r="I58" s="89"/>
      <c r="J58" s="88"/>
      <c r="K58" s="88"/>
    </row>
    <row r="59" spans="1:11" ht="70.150000000000006" customHeight="1">
      <c r="A59" s="86"/>
      <c r="B59" s="95"/>
      <c r="C59" s="88"/>
      <c r="D59" s="228"/>
      <c r="E59" s="229"/>
      <c r="F59" s="229"/>
      <c r="G59" s="91"/>
      <c r="H59" s="90"/>
      <c r="I59" s="89"/>
      <c r="J59" s="88"/>
      <c r="K59" s="88"/>
    </row>
    <row r="60" spans="1:11" ht="70.150000000000006" customHeight="1">
      <c r="A60" s="86"/>
      <c r="B60" s="95"/>
      <c r="C60" s="88"/>
      <c r="D60" s="228"/>
      <c r="E60" s="229"/>
      <c r="F60" s="229"/>
      <c r="G60" s="91"/>
      <c r="H60" s="90"/>
      <c r="I60" s="89"/>
      <c r="J60" s="88"/>
      <c r="K60" s="88"/>
    </row>
    <row r="61" spans="1:11" ht="70.150000000000006" customHeight="1">
      <c r="A61" s="86"/>
      <c r="B61" s="95"/>
      <c r="C61" s="88"/>
      <c r="D61" s="228"/>
      <c r="E61" s="229"/>
      <c r="F61" s="229"/>
      <c r="G61" s="91"/>
      <c r="H61" s="90"/>
      <c r="I61" s="89"/>
      <c r="J61" s="88"/>
      <c r="K61" s="88"/>
    </row>
    <row r="62" spans="1:11" ht="70.150000000000006" customHeight="1">
      <c r="A62" s="86"/>
      <c r="B62" s="95"/>
      <c r="C62" s="88"/>
      <c r="D62" s="228"/>
      <c r="E62" s="229"/>
      <c r="F62" s="229"/>
      <c r="G62" s="91"/>
      <c r="H62" s="90"/>
      <c r="I62" s="89"/>
      <c r="J62" s="88"/>
      <c r="K62" s="88"/>
    </row>
    <row r="63" spans="1:11" ht="70.150000000000006" customHeight="1">
      <c r="A63" s="86"/>
      <c r="B63" s="95"/>
      <c r="C63" s="88"/>
      <c r="D63" s="228"/>
      <c r="E63" s="229"/>
      <c r="F63" s="229"/>
      <c r="G63" s="91"/>
      <c r="H63" s="90"/>
      <c r="I63" s="89"/>
      <c r="J63" s="88"/>
      <c r="K63" s="88"/>
    </row>
    <row r="64" spans="1:11" ht="70.150000000000006" customHeight="1">
      <c r="A64" s="86"/>
      <c r="B64" s="95"/>
      <c r="C64" s="88"/>
      <c r="D64" s="228"/>
      <c r="E64" s="229"/>
      <c r="F64" s="229"/>
      <c r="G64" s="91"/>
      <c r="H64" s="90"/>
      <c r="I64" s="89"/>
      <c r="J64" s="88"/>
      <c r="K64" s="88"/>
    </row>
    <row r="65" spans="1:11" ht="70.150000000000006" customHeight="1">
      <c r="A65" s="86"/>
      <c r="B65" s="95"/>
      <c r="C65" s="88"/>
      <c r="D65" s="228"/>
      <c r="E65" s="229"/>
      <c r="F65" s="229"/>
      <c r="G65" s="91"/>
      <c r="H65" s="90"/>
      <c r="I65" s="89"/>
      <c r="J65" s="88"/>
      <c r="K65" s="88"/>
    </row>
    <row r="66" spans="1:11" ht="70.150000000000006" customHeight="1">
      <c r="A66" s="86"/>
      <c r="B66" s="95"/>
      <c r="C66" s="88"/>
      <c r="D66" s="228"/>
      <c r="E66" s="229"/>
      <c r="F66" s="229"/>
      <c r="G66" s="91"/>
      <c r="H66" s="90"/>
      <c r="I66" s="89"/>
      <c r="J66" s="88"/>
      <c r="K66" s="88"/>
    </row>
    <row r="67" spans="1:11" ht="70.150000000000006" customHeight="1">
      <c r="A67" s="86"/>
      <c r="B67" s="95"/>
      <c r="C67" s="88"/>
      <c r="D67" s="228"/>
      <c r="E67" s="229"/>
      <c r="F67" s="229"/>
      <c r="G67" s="91"/>
      <c r="H67" s="90"/>
      <c r="I67" s="89"/>
      <c r="J67" s="88"/>
      <c r="K67" s="88"/>
    </row>
    <row r="68" spans="1:11" ht="70.150000000000006" customHeight="1">
      <c r="A68" s="86"/>
      <c r="B68" s="95"/>
      <c r="C68" s="88"/>
      <c r="D68" s="228"/>
      <c r="E68" s="229"/>
      <c r="F68" s="229"/>
      <c r="G68" s="91"/>
      <c r="H68" s="90"/>
      <c r="I68" s="89"/>
      <c r="J68" s="88"/>
      <c r="K68" s="88"/>
    </row>
    <row r="69" spans="1:11" ht="70.150000000000006" customHeight="1">
      <c r="A69" s="86"/>
      <c r="B69" s="95"/>
      <c r="C69" s="88"/>
      <c r="D69" s="228"/>
      <c r="E69" s="229"/>
      <c r="F69" s="229"/>
      <c r="G69" s="91"/>
      <c r="H69" s="90"/>
      <c r="I69" s="89"/>
      <c r="J69" s="88"/>
      <c r="K69" s="88"/>
    </row>
    <row r="70" spans="1:11" ht="70.150000000000006" customHeight="1">
      <c r="A70" s="86"/>
      <c r="B70" s="95"/>
      <c r="C70" s="88"/>
      <c r="D70" s="228"/>
      <c r="E70" s="229"/>
      <c r="F70" s="229"/>
      <c r="G70" s="91"/>
      <c r="H70" s="90"/>
      <c r="I70" s="89"/>
      <c r="J70" s="88"/>
      <c r="K70" s="88"/>
    </row>
    <row r="71" spans="1:11" ht="70.150000000000006" customHeight="1">
      <c r="A71" s="86"/>
      <c r="B71" s="95"/>
      <c r="C71" s="88"/>
      <c r="D71" s="228"/>
      <c r="E71" s="229"/>
      <c r="F71" s="229"/>
      <c r="G71" s="91"/>
      <c r="H71" s="90"/>
      <c r="I71" s="89"/>
      <c r="J71" s="88"/>
      <c r="K71" s="88"/>
    </row>
    <row r="72" spans="1:11" ht="70.150000000000006" customHeight="1">
      <c r="A72" s="86"/>
      <c r="B72" s="95"/>
      <c r="C72" s="88"/>
      <c r="D72" s="228"/>
      <c r="E72" s="229"/>
      <c r="F72" s="229"/>
      <c r="G72" s="91"/>
      <c r="H72" s="90"/>
      <c r="I72" s="89"/>
      <c r="J72" s="88"/>
      <c r="K72" s="88"/>
    </row>
    <row r="73" spans="1:11" ht="70.150000000000006" customHeight="1">
      <c r="A73" s="86"/>
      <c r="B73" s="95"/>
      <c r="C73" s="88"/>
      <c r="D73" s="228"/>
      <c r="E73" s="229"/>
      <c r="F73" s="229"/>
      <c r="G73" s="91"/>
      <c r="H73" s="90"/>
      <c r="I73" s="89"/>
      <c r="J73" s="88"/>
      <c r="K73" s="88"/>
    </row>
    <row r="74" spans="1:11" ht="70.150000000000006" customHeight="1">
      <c r="A74" s="86"/>
      <c r="B74" s="95"/>
      <c r="C74" s="88"/>
      <c r="D74" s="228"/>
      <c r="E74" s="229"/>
      <c r="F74" s="229"/>
      <c r="G74" s="91"/>
      <c r="H74" s="90"/>
      <c r="I74" s="89"/>
      <c r="J74" s="88"/>
      <c r="K74" s="88"/>
    </row>
    <row r="75" spans="1:11" ht="70.150000000000006" customHeight="1">
      <c r="A75" s="86"/>
      <c r="B75" s="95"/>
      <c r="C75" s="88"/>
      <c r="D75" s="228"/>
      <c r="E75" s="229"/>
      <c r="F75" s="229"/>
      <c r="G75" s="91"/>
      <c r="H75" s="90"/>
      <c r="I75" s="89"/>
      <c r="J75" s="88"/>
      <c r="K75" s="88"/>
    </row>
    <row r="76" spans="1:11" ht="70.150000000000006" customHeight="1">
      <c r="A76" s="86"/>
      <c r="B76" s="95"/>
      <c r="C76" s="88"/>
      <c r="D76" s="228"/>
      <c r="E76" s="229"/>
      <c r="F76" s="229"/>
      <c r="G76" s="91"/>
      <c r="H76" s="90"/>
      <c r="I76" s="89"/>
      <c r="J76" s="88"/>
      <c r="K76" s="88"/>
    </row>
    <row r="77" spans="1:11" ht="70.150000000000006" customHeight="1">
      <c r="A77" s="86"/>
      <c r="B77" s="95"/>
      <c r="C77" s="88"/>
      <c r="D77" s="228"/>
      <c r="E77" s="229"/>
      <c r="F77" s="229"/>
      <c r="G77" s="91"/>
      <c r="H77" s="90"/>
      <c r="I77" s="89"/>
      <c r="J77" s="88"/>
      <c r="K77" s="88"/>
    </row>
    <row r="78" spans="1:11" ht="70.150000000000006" customHeight="1">
      <c r="A78" s="86"/>
      <c r="B78" s="95"/>
      <c r="C78" s="88"/>
      <c r="D78" s="228"/>
      <c r="E78" s="229"/>
      <c r="F78" s="229"/>
      <c r="G78" s="91"/>
      <c r="H78" s="90"/>
      <c r="I78" s="89"/>
      <c r="J78" s="88"/>
      <c r="K78" s="88"/>
    </row>
    <row r="79" spans="1:11" ht="70.150000000000006" customHeight="1">
      <c r="A79" s="86"/>
      <c r="B79" s="95"/>
      <c r="C79" s="88"/>
      <c r="D79" s="228"/>
      <c r="E79" s="229"/>
      <c r="F79" s="229"/>
      <c r="G79" s="91"/>
      <c r="H79" s="90"/>
      <c r="I79" s="89"/>
      <c r="J79" s="88"/>
      <c r="K79" s="88"/>
    </row>
    <row r="80" spans="1:11" ht="70.150000000000006" customHeight="1">
      <c r="A80" s="86"/>
      <c r="B80" s="95"/>
      <c r="C80" s="88"/>
      <c r="D80" s="228"/>
      <c r="E80" s="229"/>
      <c r="F80" s="229"/>
      <c r="G80" s="91"/>
      <c r="H80" s="90"/>
      <c r="I80" s="89"/>
      <c r="J80" s="88"/>
      <c r="K80" s="88"/>
    </row>
    <row r="81" spans="1:11" ht="70.150000000000006" customHeight="1">
      <c r="A81" s="86"/>
      <c r="B81" s="95"/>
      <c r="C81" s="88"/>
      <c r="D81" s="228"/>
      <c r="E81" s="229"/>
      <c r="F81" s="229"/>
      <c r="G81" s="91"/>
      <c r="H81" s="90"/>
      <c r="I81" s="89"/>
      <c r="J81" s="88"/>
      <c r="K81" s="88"/>
    </row>
    <row r="82" spans="1:11" ht="70.150000000000006" customHeight="1">
      <c r="A82" s="86"/>
      <c r="B82" s="95"/>
      <c r="C82" s="88"/>
      <c r="D82" s="228"/>
      <c r="E82" s="229"/>
      <c r="F82" s="229"/>
      <c r="G82" s="91"/>
      <c r="H82" s="90"/>
      <c r="I82" s="89"/>
      <c r="J82" s="88"/>
      <c r="K82" s="88"/>
    </row>
    <row r="83" spans="1:11" ht="70.150000000000006" customHeight="1">
      <c r="A83" s="86"/>
      <c r="B83" s="95"/>
      <c r="C83" s="88"/>
      <c r="D83" s="228"/>
      <c r="E83" s="229"/>
      <c r="F83" s="229"/>
      <c r="G83" s="91"/>
      <c r="H83" s="90"/>
      <c r="I83" s="89"/>
      <c r="J83" s="88"/>
      <c r="K83" s="88"/>
    </row>
    <row r="84" spans="1:11" ht="70.150000000000006" customHeight="1">
      <c r="A84" s="86"/>
      <c r="B84" s="95"/>
      <c r="C84" s="88"/>
      <c r="D84" s="228"/>
      <c r="E84" s="229"/>
      <c r="F84" s="229"/>
      <c r="G84" s="91"/>
      <c r="H84" s="90"/>
      <c r="I84" s="89"/>
      <c r="J84" s="88"/>
      <c r="K84" s="88"/>
    </row>
    <row r="85" spans="1:11" ht="70.150000000000006" customHeight="1">
      <c r="A85" s="86"/>
      <c r="B85" s="95"/>
      <c r="C85" s="88"/>
      <c r="D85" s="228"/>
      <c r="E85" s="229"/>
      <c r="F85" s="229"/>
      <c r="G85" s="91"/>
      <c r="H85" s="90"/>
      <c r="I85" s="89"/>
      <c r="J85" s="88"/>
      <c r="K85" s="88"/>
    </row>
    <row r="86" spans="1:11" ht="70.150000000000006" customHeight="1">
      <c r="A86" s="86"/>
      <c r="B86" s="95"/>
      <c r="C86" s="88"/>
      <c r="D86" s="228"/>
      <c r="E86" s="229"/>
      <c r="F86" s="229"/>
      <c r="G86" s="91"/>
      <c r="H86" s="90"/>
      <c r="I86" s="89"/>
      <c r="J86" s="88"/>
      <c r="K86" s="88"/>
    </row>
    <row r="87" spans="1:11" ht="70.150000000000006" customHeight="1">
      <c r="A87" s="86"/>
      <c r="B87" s="95"/>
      <c r="C87" s="88"/>
      <c r="D87" s="228"/>
      <c r="E87" s="229"/>
      <c r="F87" s="229"/>
      <c r="G87" s="91"/>
      <c r="H87" s="90"/>
      <c r="I87" s="89"/>
      <c r="J87" s="88"/>
      <c r="K87" s="88"/>
    </row>
  </sheetData>
  <mergeCells count="94">
    <mergeCell ref="B3:D3"/>
    <mergeCell ref="I3:K3"/>
    <mergeCell ref="B4:D4"/>
    <mergeCell ref="I4:K4"/>
    <mergeCell ref="B5:D5"/>
    <mergeCell ref="I5:K5"/>
    <mergeCell ref="I6:K6"/>
    <mergeCell ref="I7:K7"/>
    <mergeCell ref="A8:D8"/>
    <mergeCell ref="A11:K11"/>
    <mergeCell ref="A12:K12"/>
    <mergeCell ref="A9:A10"/>
    <mergeCell ref="B9:B10"/>
    <mergeCell ref="C9:C10"/>
    <mergeCell ref="H9:H10"/>
    <mergeCell ref="I9:I10"/>
    <mergeCell ref="J9:J10"/>
    <mergeCell ref="K9:K10"/>
    <mergeCell ref="D9:G10"/>
    <mergeCell ref="D13:F13"/>
    <mergeCell ref="D14:F14"/>
    <mergeCell ref="D15:F15"/>
    <mergeCell ref="A16:K16"/>
    <mergeCell ref="D17:F17"/>
    <mergeCell ref="D18:F18"/>
    <mergeCell ref="D19:F19"/>
    <mergeCell ref="D20:F20"/>
    <mergeCell ref="D21:F21"/>
    <mergeCell ref="A22:K22"/>
    <mergeCell ref="D23:F23"/>
    <mergeCell ref="D24:F24"/>
    <mergeCell ref="D25:F25"/>
    <mergeCell ref="D26:F26"/>
    <mergeCell ref="D27:F27"/>
    <mergeCell ref="D28:F28"/>
    <mergeCell ref="D29:F29"/>
    <mergeCell ref="A30:K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13" workbookViewId="0">
      <selection activeCell="D7" sqref="D7"/>
    </sheetView>
  </sheetViews>
  <sheetFormatPr defaultColWidth="8.875" defaultRowHeight="13.5"/>
  <cols>
    <col min="1" max="1" width="19.5" customWidth="1"/>
    <col min="2" max="2" width="18.75" customWidth="1"/>
    <col min="3" max="3" width="33.875" customWidth="1"/>
    <col min="4" max="4" width="72.125" customWidth="1"/>
  </cols>
  <sheetData>
    <row r="1" spans="1:11" ht="14.25">
      <c r="A1" s="62" t="s">
        <v>0</v>
      </c>
      <c r="B1" s="96" t="s">
        <v>487</v>
      </c>
      <c r="C1" s="96"/>
      <c r="D1" s="96"/>
      <c r="E1" s="63"/>
      <c r="F1" s="63"/>
      <c r="G1" s="63"/>
    </row>
    <row r="2" spans="1:11" ht="14.25">
      <c r="A2" s="65"/>
      <c r="B2" s="97"/>
      <c r="C2" s="97"/>
      <c r="D2" s="97"/>
      <c r="E2" s="63"/>
      <c r="F2" s="63"/>
      <c r="G2" s="63"/>
    </row>
    <row r="3" spans="1:11" ht="14.25">
      <c r="A3" s="66" t="s">
        <v>61</v>
      </c>
      <c r="B3" s="213" t="s">
        <v>62</v>
      </c>
      <c r="C3" s="213"/>
      <c r="D3" s="214"/>
      <c r="E3" s="67"/>
      <c r="F3" s="67"/>
      <c r="G3" s="67"/>
    </row>
    <row r="4" spans="1:11" ht="14.25">
      <c r="A4" s="70" t="s">
        <v>63</v>
      </c>
      <c r="B4" s="215" t="s">
        <v>488</v>
      </c>
      <c r="C4" s="216"/>
      <c r="D4" s="217"/>
      <c r="E4" s="67"/>
      <c r="F4" s="67"/>
      <c r="G4" s="67"/>
    </row>
    <row r="5" spans="1:11">
      <c r="A5" s="70" t="s">
        <v>65</v>
      </c>
      <c r="B5" s="218" t="s">
        <v>66</v>
      </c>
      <c r="C5" s="219"/>
      <c r="D5" s="220"/>
      <c r="E5" s="71"/>
      <c r="F5" s="71"/>
      <c r="G5" s="71"/>
    </row>
    <row r="6" spans="1:11" ht="14.25">
      <c r="A6" s="73" t="s">
        <v>67</v>
      </c>
      <c r="B6" s="74">
        <v>0</v>
      </c>
      <c r="C6" s="75" t="s">
        <v>68</v>
      </c>
      <c r="D6" s="76">
        <v>11</v>
      </c>
      <c r="E6" s="68"/>
      <c r="F6" s="68"/>
      <c r="G6" s="68"/>
    </row>
    <row r="7" spans="1:11" ht="14.25">
      <c r="A7" s="77" t="s">
        <v>69</v>
      </c>
      <c r="B7" s="78">
        <v>0</v>
      </c>
      <c r="C7" s="79" t="s">
        <v>70</v>
      </c>
      <c r="D7" s="80">
        <v>11</v>
      </c>
      <c r="E7" s="81"/>
      <c r="F7" s="81"/>
      <c r="G7" s="81"/>
    </row>
    <row r="8" spans="1:11" ht="14.25">
      <c r="A8" s="242"/>
      <c r="B8" s="242"/>
      <c r="C8" s="242"/>
      <c r="D8" s="242"/>
      <c r="E8" s="68"/>
      <c r="F8" s="68"/>
      <c r="G8" s="68"/>
    </row>
    <row r="9" spans="1:1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</row>
    <row r="10" spans="1:1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</row>
    <row r="11" spans="1:1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1">
      <c r="A12" s="188" t="s">
        <v>489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90"/>
    </row>
    <row r="13" spans="1:11" ht="38.25">
      <c r="A13" s="86" t="s">
        <v>80</v>
      </c>
      <c r="B13" s="88" t="s">
        <v>490</v>
      </c>
      <c r="C13" s="88" t="s">
        <v>491</v>
      </c>
      <c r="D13" s="191" t="s">
        <v>492</v>
      </c>
      <c r="E13" s="180"/>
      <c r="F13" s="180"/>
      <c r="G13" s="181"/>
      <c r="H13" s="90"/>
      <c r="I13" s="92"/>
      <c r="J13" s="88" t="s">
        <v>68</v>
      </c>
      <c r="K13" s="88"/>
    </row>
    <row r="14" spans="1:11">
      <c r="A14" s="188" t="s">
        <v>493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90"/>
    </row>
    <row r="15" spans="1:11" ht="25.5">
      <c r="A15" s="98" t="s">
        <v>85</v>
      </c>
      <c r="B15" s="98" t="s">
        <v>494</v>
      </c>
      <c r="C15" s="98" t="s">
        <v>495</v>
      </c>
      <c r="D15" s="192" t="s">
        <v>496</v>
      </c>
      <c r="E15" s="193"/>
      <c r="F15" s="193"/>
      <c r="G15" s="194"/>
      <c r="H15" s="99"/>
      <c r="I15" s="99"/>
      <c r="J15" s="100" t="s">
        <v>68</v>
      </c>
      <c r="K15" s="99"/>
    </row>
    <row r="16" spans="1:11">
      <c r="A16" s="188" t="s">
        <v>497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90"/>
    </row>
    <row r="17" spans="1:11" ht="38.25">
      <c r="A17" s="98" t="s">
        <v>90</v>
      </c>
      <c r="B17" s="98" t="s">
        <v>498</v>
      </c>
      <c r="C17" s="98" t="s">
        <v>499</v>
      </c>
      <c r="D17" s="192" t="s">
        <v>500</v>
      </c>
      <c r="E17" s="193"/>
      <c r="F17" s="193"/>
      <c r="G17" s="194"/>
      <c r="H17" s="99"/>
      <c r="I17" s="99"/>
      <c r="J17" s="100" t="s">
        <v>68</v>
      </c>
      <c r="K17" s="99"/>
    </row>
    <row r="18" spans="1:11">
      <c r="A18" s="188" t="s">
        <v>501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90"/>
    </row>
    <row r="19" spans="1:11" ht="38.25">
      <c r="A19" s="98" t="s">
        <v>95</v>
      </c>
      <c r="B19" s="98" t="s">
        <v>502</v>
      </c>
      <c r="C19" s="98" t="s">
        <v>503</v>
      </c>
      <c r="D19" s="192" t="s">
        <v>504</v>
      </c>
      <c r="E19" s="193"/>
      <c r="F19" s="193"/>
      <c r="G19" s="194"/>
      <c r="H19" s="99"/>
      <c r="I19" s="99"/>
      <c r="J19" s="100" t="s">
        <v>68</v>
      </c>
      <c r="K19" s="99"/>
    </row>
    <row r="20" spans="1:11">
      <c r="A20" s="188" t="s">
        <v>505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90"/>
    </row>
    <row r="21" spans="1:11" ht="38.25">
      <c r="A21" s="98" t="s">
        <v>100</v>
      </c>
      <c r="B21" s="98" t="s">
        <v>506</v>
      </c>
      <c r="C21" s="98" t="s">
        <v>507</v>
      </c>
      <c r="D21" s="192" t="s">
        <v>508</v>
      </c>
      <c r="E21" s="193"/>
      <c r="F21" s="193"/>
      <c r="G21" s="194"/>
      <c r="H21" s="99"/>
      <c r="I21" s="99"/>
      <c r="J21" s="100" t="s">
        <v>68</v>
      </c>
      <c r="K21" s="99"/>
    </row>
    <row r="22" spans="1:11">
      <c r="A22" s="188" t="s">
        <v>509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90"/>
    </row>
    <row r="23" spans="1:11" ht="38.25">
      <c r="A23" s="98" t="s">
        <v>104</v>
      </c>
      <c r="B23" s="98" t="s">
        <v>510</v>
      </c>
      <c r="C23" s="98" t="s">
        <v>511</v>
      </c>
      <c r="D23" s="192" t="s">
        <v>512</v>
      </c>
      <c r="E23" s="193"/>
      <c r="F23" s="193"/>
      <c r="G23" s="194"/>
      <c r="H23" s="99"/>
      <c r="I23" s="99"/>
      <c r="J23" s="100" t="s">
        <v>68</v>
      </c>
      <c r="K23" s="99"/>
    </row>
    <row r="24" spans="1:11">
      <c r="A24" s="188" t="s">
        <v>513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90"/>
    </row>
    <row r="25" spans="1:11" ht="38.25">
      <c r="A25" s="98" t="s">
        <v>109</v>
      </c>
      <c r="B25" s="98" t="s">
        <v>514</v>
      </c>
      <c r="C25" s="98" t="s">
        <v>515</v>
      </c>
      <c r="D25" s="192" t="s">
        <v>516</v>
      </c>
      <c r="E25" s="193"/>
      <c r="F25" s="193"/>
      <c r="G25" s="194"/>
      <c r="H25" s="99"/>
      <c r="I25" s="99"/>
      <c r="J25" s="100" t="s">
        <v>68</v>
      </c>
      <c r="K25" s="99"/>
    </row>
    <row r="26" spans="1:11">
      <c r="A26" s="188" t="s">
        <v>517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90"/>
    </row>
    <row r="27" spans="1:11" ht="38.25">
      <c r="A27" s="98" t="s">
        <v>113</v>
      </c>
      <c r="B27" s="98" t="s">
        <v>518</v>
      </c>
      <c r="C27" s="98" t="s">
        <v>519</v>
      </c>
      <c r="D27" s="192" t="s">
        <v>520</v>
      </c>
      <c r="E27" s="193"/>
      <c r="F27" s="193"/>
      <c r="G27" s="194"/>
      <c r="H27" s="99"/>
      <c r="I27" s="99"/>
      <c r="J27" s="100" t="s">
        <v>68</v>
      </c>
      <c r="K27" s="99"/>
    </row>
    <row r="28" spans="1:11">
      <c r="A28" s="188" t="s">
        <v>521</v>
      </c>
      <c r="B28" s="189"/>
      <c r="C28" s="189"/>
      <c r="D28" s="189"/>
      <c r="E28" s="189"/>
      <c r="F28" s="189"/>
      <c r="G28" s="189"/>
      <c r="H28" s="189"/>
      <c r="I28" s="189"/>
      <c r="J28" s="189"/>
      <c r="K28" s="190"/>
    </row>
    <row r="29" spans="1:11" ht="38.25">
      <c r="A29" s="98" t="s">
        <v>118</v>
      </c>
      <c r="B29" s="98" t="s">
        <v>522</v>
      </c>
      <c r="C29" s="98" t="s">
        <v>523</v>
      </c>
      <c r="D29" s="192" t="s">
        <v>524</v>
      </c>
      <c r="E29" s="193"/>
      <c r="F29" s="193"/>
      <c r="G29" s="194"/>
      <c r="H29" s="99"/>
      <c r="I29" s="99"/>
      <c r="J29" s="100" t="s">
        <v>68</v>
      </c>
      <c r="K29" s="99"/>
    </row>
    <row r="30" spans="1:11">
      <c r="A30" s="188" t="s">
        <v>525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90"/>
    </row>
    <row r="31" spans="1:11" ht="38.25">
      <c r="A31" s="98" t="s">
        <v>122</v>
      </c>
      <c r="B31" s="98" t="s">
        <v>526</v>
      </c>
      <c r="C31" s="98" t="s">
        <v>527</v>
      </c>
      <c r="D31" s="192" t="s">
        <v>528</v>
      </c>
      <c r="E31" s="193"/>
      <c r="F31" s="193"/>
      <c r="G31" s="194"/>
      <c r="H31" s="99"/>
      <c r="I31" s="99"/>
      <c r="J31" s="100" t="s">
        <v>68</v>
      </c>
      <c r="K31" s="99"/>
    </row>
    <row r="32" spans="1:11">
      <c r="A32" s="188" t="s">
        <v>529</v>
      </c>
      <c r="B32" s="189"/>
      <c r="C32" s="189"/>
      <c r="D32" s="189"/>
      <c r="E32" s="189"/>
      <c r="F32" s="189"/>
      <c r="G32" s="189"/>
      <c r="H32" s="189"/>
      <c r="I32" s="189"/>
      <c r="J32" s="189"/>
      <c r="K32" s="190"/>
    </row>
    <row r="33" spans="1:11" ht="38.25">
      <c r="A33" s="98" t="s">
        <v>126</v>
      </c>
      <c r="B33" s="98" t="s">
        <v>530</v>
      </c>
      <c r="C33" s="98" t="s">
        <v>531</v>
      </c>
      <c r="D33" s="192" t="s">
        <v>524</v>
      </c>
      <c r="E33" s="193"/>
      <c r="F33" s="193"/>
      <c r="G33" s="194"/>
      <c r="H33" s="99"/>
      <c r="I33" s="99"/>
      <c r="J33" s="100" t="s">
        <v>68</v>
      </c>
      <c r="K33" s="99"/>
    </row>
  </sheetData>
  <mergeCells count="35">
    <mergeCell ref="B3:D3"/>
    <mergeCell ref="B4:D4"/>
    <mergeCell ref="B5:D5"/>
    <mergeCell ref="A8:D8"/>
    <mergeCell ref="A11:K11"/>
    <mergeCell ref="A12:K12"/>
    <mergeCell ref="D13:G13"/>
    <mergeCell ref="A14:K14"/>
    <mergeCell ref="D15:G15"/>
    <mergeCell ref="A16:K16"/>
    <mergeCell ref="D23:G23"/>
    <mergeCell ref="A24:K24"/>
    <mergeCell ref="D25:G25"/>
    <mergeCell ref="A26:K26"/>
    <mergeCell ref="D17:G17"/>
    <mergeCell ref="A18:K18"/>
    <mergeCell ref="D19:G19"/>
    <mergeCell ref="A20:K20"/>
    <mergeCell ref="D21:G21"/>
    <mergeCell ref="A32:K32"/>
    <mergeCell ref="D33:G33"/>
    <mergeCell ref="A9:A10"/>
    <mergeCell ref="B9:B10"/>
    <mergeCell ref="C9:C10"/>
    <mergeCell ref="H9:H10"/>
    <mergeCell ref="I9:I10"/>
    <mergeCell ref="J9:J10"/>
    <mergeCell ref="K9:K10"/>
    <mergeCell ref="D9:G10"/>
    <mergeCell ref="D27:G27"/>
    <mergeCell ref="A28:K28"/>
    <mergeCell ref="D29:G29"/>
    <mergeCell ref="A30:K30"/>
    <mergeCell ref="D31:G31"/>
    <mergeCell ref="A22:K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55"/>
  <sheetViews>
    <sheetView zoomScale="72" zoomScaleNormal="72" workbookViewId="0">
      <selection activeCell="H21" sqref="H21"/>
    </sheetView>
  </sheetViews>
  <sheetFormatPr defaultColWidth="8.75" defaultRowHeight="14.25" outlineLevelRow="1"/>
  <cols>
    <col min="1" max="1" width="15.625" customWidth="1"/>
    <col min="2" max="2" width="18.125" customWidth="1"/>
    <col min="3" max="3" width="42.125" customWidth="1"/>
    <col min="6" max="6" width="23.625" customWidth="1"/>
    <col min="7" max="7" width="18.5" hidden="1" customWidth="1"/>
    <col min="8" max="8" width="38" customWidth="1"/>
    <col min="9" max="9" width="17.125" customWidth="1"/>
    <col min="10" max="10" width="9" style="5"/>
    <col min="11" max="11" width="18" customWidth="1"/>
  </cols>
  <sheetData>
    <row r="1" spans="1:12" s="56" customFormat="1" ht="12.75" customHeight="1">
      <c r="A1" s="62" t="s">
        <v>0</v>
      </c>
      <c r="B1" s="243"/>
      <c r="C1" s="243"/>
      <c r="D1" s="243"/>
      <c r="E1" s="63"/>
      <c r="F1" s="63"/>
      <c r="G1" s="63"/>
      <c r="H1" s="63"/>
      <c r="I1" s="63"/>
      <c r="J1" s="64"/>
      <c r="K1" s="63"/>
      <c r="L1" s="65"/>
    </row>
    <row r="2" spans="1:12" s="56" customFormat="1" ht="11.25" customHeight="1">
      <c r="A2" s="65"/>
      <c r="B2" s="244"/>
      <c r="C2" s="244"/>
      <c r="D2" s="244"/>
      <c r="E2" s="63"/>
      <c r="F2" s="63"/>
      <c r="G2" s="63"/>
      <c r="H2" s="63"/>
      <c r="I2" s="63"/>
      <c r="J2" s="64"/>
      <c r="K2" s="63"/>
      <c r="L2" s="65"/>
    </row>
    <row r="3" spans="1:12" s="57" customFormat="1" ht="15" customHeight="1">
      <c r="A3" s="66" t="s">
        <v>61</v>
      </c>
      <c r="B3" s="213" t="s">
        <v>532</v>
      </c>
      <c r="C3" s="213"/>
      <c r="D3" s="214"/>
      <c r="E3" s="67"/>
      <c r="F3" s="67"/>
      <c r="G3" s="67"/>
      <c r="H3" s="67"/>
      <c r="I3" s="197"/>
      <c r="J3" s="197"/>
      <c r="K3" s="197"/>
      <c r="L3" s="69"/>
    </row>
    <row r="4" spans="1:12" s="57" customFormat="1" ht="12.75">
      <c r="A4" s="70" t="s">
        <v>63</v>
      </c>
      <c r="B4" s="215" t="s">
        <v>533</v>
      </c>
      <c r="C4" s="216"/>
      <c r="D4" s="217"/>
      <c r="E4" s="67"/>
      <c r="F4" s="67"/>
      <c r="G4" s="67"/>
      <c r="H4" s="67"/>
      <c r="I4" s="197"/>
      <c r="J4" s="197"/>
      <c r="K4" s="197"/>
      <c r="L4" s="69"/>
    </row>
    <row r="5" spans="1:12" s="58" customFormat="1" ht="25.5">
      <c r="A5" s="70" t="s">
        <v>65</v>
      </c>
      <c r="B5" s="218" t="s">
        <v>66</v>
      </c>
      <c r="C5" s="219"/>
      <c r="D5" s="220"/>
      <c r="E5" s="71"/>
      <c r="F5" s="71"/>
      <c r="G5" s="71"/>
      <c r="H5" s="71"/>
      <c r="I5" s="221"/>
      <c r="J5" s="221"/>
      <c r="K5" s="221"/>
      <c r="L5" s="72"/>
    </row>
    <row r="6" spans="1:12" s="57" customFormat="1" ht="15" customHeight="1">
      <c r="A6" s="73" t="s">
        <v>67</v>
      </c>
      <c r="B6" s="74">
        <f>COUNTIF(J12:J17,"Pass")</f>
        <v>3</v>
      </c>
      <c r="C6" s="75" t="s">
        <v>68</v>
      </c>
      <c r="D6" s="76">
        <f>COUNTIF(J10:J736,"Pending")</f>
        <v>0</v>
      </c>
      <c r="E6" s="68"/>
      <c r="F6" s="68"/>
      <c r="G6" s="68"/>
      <c r="H6" s="68"/>
      <c r="I6" s="197"/>
      <c r="J6" s="197"/>
      <c r="K6" s="197"/>
      <c r="L6" s="69"/>
    </row>
    <row r="7" spans="1:12" s="57" customFormat="1" ht="15" customHeight="1">
      <c r="A7" s="77" t="s">
        <v>69</v>
      </c>
      <c r="B7" s="78">
        <f>COUNTIF(J12:J17,"Fail")</f>
        <v>0</v>
      </c>
      <c r="C7" s="79" t="s">
        <v>70</v>
      </c>
      <c r="D7" s="80">
        <f>COUNTA(A12:A17)-15</f>
        <v>-9</v>
      </c>
      <c r="E7" s="81"/>
      <c r="F7" s="81"/>
      <c r="G7" s="81"/>
      <c r="H7" s="81"/>
      <c r="I7" s="197"/>
      <c r="J7" s="197"/>
      <c r="K7" s="197"/>
      <c r="L7" s="69"/>
    </row>
    <row r="8" spans="1:12" s="57" customFormat="1" ht="15" customHeight="1">
      <c r="A8" s="198"/>
      <c r="B8" s="198"/>
      <c r="C8" s="198"/>
      <c r="D8" s="198"/>
      <c r="E8" s="68"/>
      <c r="F8" s="68"/>
      <c r="G8" s="68"/>
      <c r="H8" s="68"/>
      <c r="I8" s="68"/>
      <c r="J8" s="82"/>
      <c r="K8" s="82"/>
      <c r="L8" s="69"/>
    </row>
    <row r="9" spans="1:12" s="59" customFormat="1" ht="12" customHeight="1">
      <c r="A9" s="201" t="s">
        <v>71</v>
      </c>
      <c r="B9" s="203" t="s">
        <v>72</v>
      </c>
      <c r="C9" s="201" t="s">
        <v>73</v>
      </c>
      <c r="D9" s="207" t="s">
        <v>74</v>
      </c>
      <c r="E9" s="208"/>
      <c r="F9" s="208"/>
      <c r="G9" s="209"/>
      <c r="H9" s="205" t="s">
        <v>75</v>
      </c>
      <c r="I9" s="206" t="s">
        <v>76</v>
      </c>
      <c r="J9" s="206" t="s">
        <v>77</v>
      </c>
      <c r="K9" s="206" t="s">
        <v>78</v>
      </c>
      <c r="L9" s="83"/>
    </row>
    <row r="10" spans="1:12" s="57" customFormat="1" ht="12" customHeight="1">
      <c r="A10" s="202"/>
      <c r="B10" s="204"/>
      <c r="C10" s="202"/>
      <c r="D10" s="210"/>
      <c r="E10" s="211"/>
      <c r="F10" s="211"/>
      <c r="G10" s="212"/>
      <c r="H10" s="201"/>
      <c r="I10" s="201"/>
      <c r="J10" s="201"/>
      <c r="K10" s="201"/>
      <c r="L10" s="69"/>
    </row>
    <row r="11" spans="1:12" s="60" customFormat="1" ht="15">
      <c r="A11" s="199"/>
      <c r="B11" s="199"/>
      <c r="C11" s="199"/>
      <c r="D11" s="199"/>
      <c r="E11" s="199"/>
      <c r="F11" s="199"/>
      <c r="G11" s="199"/>
      <c r="H11" s="199"/>
      <c r="I11" s="199"/>
      <c r="J11" s="199"/>
      <c r="K11" s="200"/>
    </row>
    <row r="12" spans="1:12" s="61" customFormat="1" ht="12.75">
      <c r="A12" s="188" t="s">
        <v>534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90"/>
    </row>
    <row r="13" spans="1:12" s="61" customFormat="1" ht="76.5" outlineLevel="1">
      <c r="A13" s="86" t="s">
        <v>80</v>
      </c>
      <c r="B13" s="87" t="s">
        <v>535</v>
      </c>
      <c r="C13" s="88" t="s">
        <v>536</v>
      </c>
      <c r="D13" s="179" t="s">
        <v>537</v>
      </c>
      <c r="E13" s="180"/>
      <c r="F13" s="180"/>
      <c r="G13" s="91"/>
      <c r="H13" s="90"/>
      <c r="I13" s="92"/>
      <c r="J13" s="88" t="s">
        <v>67</v>
      </c>
      <c r="K13" s="88"/>
    </row>
    <row r="14" spans="1:12" s="61" customFormat="1" ht="12.75" outlineLevel="1">
      <c r="A14" s="245" t="s">
        <v>538</v>
      </c>
      <c r="B14" s="227"/>
      <c r="C14" s="227"/>
      <c r="D14" s="84"/>
      <c r="E14" s="84"/>
      <c r="F14" s="84"/>
      <c r="G14" s="84"/>
      <c r="H14" s="84"/>
      <c r="I14" s="84"/>
      <c r="J14" s="84"/>
      <c r="K14" s="85"/>
    </row>
    <row r="15" spans="1:12" s="61" customFormat="1" ht="63.75" customHeight="1" outlineLevel="1">
      <c r="A15" s="86" t="s">
        <v>85</v>
      </c>
      <c r="B15" s="93" t="s">
        <v>539</v>
      </c>
      <c r="C15" s="94" t="s">
        <v>540</v>
      </c>
      <c r="D15" s="228" t="s">
        <v>541</v>
      </c>
      <c r="E15" s="180"/>
      <c r="F15" s="180"/>
      <c r="G15" s="91"/>
      <c r="H15" s="90"/>
      <c r="I15" s="89"/>
      <c r="J15" s="88" t="s">
        <v>67</v>
      </c>
      <c r="K15" s="88"/>
    </row>
    <row r="16" spans="1:12" s="61" customFormat="1" ht="12.75" outlineLevel="1">
      <c r="A16" s="245" t="s">
        <v>542</v>
      </c>
      <c r="B16" s="227"/>
      <c r="C16" s="227"/>
      <c r="D16" s="84"/>
      <c r="E16" s="84"/>
      <c r="F16" s="84"/>
      <c r="G16" s="84"/>
      <c r="H16" s="84"/>
      <c r="I16" s="84"/>
      <c r="J16" s="84"/>
      <c r="K16" s="85"/>
    </row>
    <row r="17" spans="1:11" s="61" customFormat="1" ht="63.75" customHeight="1" outlineLevel="1">
      <c r="A17" s="86" t="s">
        <v>90</v>
      </c>
      <c r="B17" s="95" t="s">
        <v>539</v>
      </c>
      <c r="C17" s="88" t="s">
        <v>543</v>
      </c>
      <c r="D17" s="228" t="s">
        <v>544</v>
      </c>
      <c r="E17" s="229"/>
      <c r="F17" s="229"/>
      <c r="G17" s="91"/>
      <c r="H17" s="90"/>
      <c r="I17" s="89"/>
      <c r="J17" s="88" t="s">
        <v>67</v>
      </c>
      <c r="K17" s="88"/>
    </row>
    <row r="18" spans="1:11" ht="12" customHeight="1"/>
    <row r="19" spans="1:11" ht="12" customHeight="1"/>
    <row r="20" spans="1:11" ht="12" customHeight="1"/>
    <row r="21" spans="1:11" ht="12" customHeight="1"/>
    <row r="22" spans="1:11" ht="12" customHeight="1"/>
    <row r="23" spans="1:11" ht="12" customHeight="1"/>
    <row r="24" spans="1:11" ht="12" customHeight="1"/>
    <row r="25" spans="1:11" ht="12" customHeight="1"/>
    <row r="26" spans="1:11" ht="12" customHeight="1"/>
    <row r="27" spans="1:11" ht="12" customHeight="1"/>
    <row r="28" spans="1:11" ht="12" customHeight="1"/>
    <row r="29" spans="1:11" ht="12" customHeight="1"/>
    <row r="30" spans="1:11" ht="12" customHeight="1"/>
    <row r="31" spans="1:11" ht="12" customHeight="1"/>
    <row r="32" spans="1:1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</sheetData>
  <mergeCells count="25">
    <mergeCell ref="I3:K3"/>
    <mergeCell ref="B4:D4"/>
    <mergeCell ref="I4:K4"/>
    <mergeCell ref="B5:D5"/>
    <mergeCell ref="I5:K5"/>
    <mergeCell ref="A16:C16"/>
    <mergeCell ref="D17:F17"/>
    <mergeCell ref="I6:K6"/>
    <mergeCell ref="I7:K7"/>
    <mergeCell ref="A8:D8"/>
    <mergeCell ref="A11:K11"/>
    <mergeCell ref="A12:K12"/>
    <mergeCell ref="A9:A10"/>
    <mergeCell ref="B9:B10"/>
    <mergeCell ref="C9:C10"/>
    <mergeCell ref="H9:H10"/>
    <mergeCell ref="I9:I10"/>
    <mergeCell ref="J9:J10"/>
    <mergeCell ref="K9:K10"/>
    <mergeCell ref="B1:D2"/>
    <mergeCell ref="D9:G10"/>
    <mergeCell ref="D13:F13"/>
    <mergeCell ref="A14:C14"/>
    <mergeCell ref="D15:F15"/>
    <mergeCell ref="B3:D3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22" zoomScale="130" zoomScaleNormal="130" workbookViewId="0">
      <selection activeCell="I29" sqref="I29"/>
    </sheetView>
  </sheetViews>
  <sheetFormatPr defaultColWidth="8.75" defaultRowHeight="13.5"/>
  <cols>
    <col min="3" max="3" width="22.75" customWidth="1"/>
    <col min="7" max="7" width="18.625" customWidth="1"/>
    <col min="8" max="8" width="22.5" customWidth="1"/>
    <col min="9" max="9" width="47.75" customWidth="1"/>
  </cols>
  <sheetData>
    <row r="1" spans="1:8" ht="22.5">
      <c r="A1" s="4" t="s">
        <v>545</v>
      </c>
      <c r="B1" s="2"/>
      <c r="C1" s="3"/>
      <c r="D1" s="3"/>
      <c r="E1" s="3"/>
      <c r="F1" s="3"/>
      <c r="G1" s="46"/>
    </row>
    <row r="2" spans="1:8" ht="14.25" customHeight="1">
      <c r="A2" s="4"/>
      <c r="B2" s="2"/>
      <c r="C2" s="3"/>
      <c r="D2" s="3"/>
      <c r="E2" s="3"/>
      <c r="F2" s="3"/>
      <c r="G2" s="46"/>
    </row>
    <row r="3" spans="1:8" ht="14.25">
      <c r="B3" s="5" t="s">
        <v>546</v>
      </c>
      <c r="C3" s="3"/>
      <c r="D3" s="3"/>
      <c r="E3" s="3"/>
      <c r="F3" s="3"/>
      <c r="G3" s="46"/>
    </row>
    <row r="4" spans="1:8" ht="14.25">
      <c r="B4" s="5" t="s">
        <v>547</v>
      </c>
      <c r="C4" s="47"/>
      <c r="D4" s="5"/>
      <c r="E4" s="5"/>
      <c r="F4" s="5"/>
      <c r="G4" s="5"/>
    </row>
    <row r="5" spans="1:8" ht="14.25">
      <c r="A5" s="5"/>
      <c r="B5" s="5"/>
      <c r="C5" s="5"/>
      <c r="D5" s="5"/>
      <c r="E5" s="5"/>
      <c r="F5" s="5"/>
      <c r="G5" s="5"/>
    </row>
    <row r="6" spans="1:8" ht="14.25">
      <c r="A6" s="5"/>
      <c r="B6" s="5"/>
      <c r="C6" s="5"/>
      <c r="D6" s="5"/>
      <c r="E6" s="5"/>
      <c r="F6" s="5"/>
      <c r="G6" s="5"/>
    </row>
    <row r="7" spans="1:8" ht="40.15" customHeight="1">
      <c r="A7" s="5"/>
      <c r="B7" s="48" t="s">
        <v>548</v>
      </c>
      <c r="C7" s="49" t="s">
        <v>549</v>
      </c>
      <c r="D7" s="50" t="s">
        <v>67</v>
      </c>
      <c r="E7" s="49" t="s">
        <v>69</v>
      </c>
      <c r="F7" s="49" t="s">
        <v>68</v>
      </c>
      <c r="G7" s="252" t="s">
        <v>550</v>
      </c>
      <c r="H7" s="253"/>
    </row>
    <row r="8" spans="1:8" s="45" customFormat="1" ht="40.15" customHeight="1">
      <c r="A8" s="15"/>
      <c r="B8" s="51">
        <v>1</v>
      </c>
      <c r="C8" s="52" t="s">
        <v>551</v>
      </c>
      <c r="D8" s="51">
        <f>COUNTIF(Auth!J10:J29, "Pass")</f>
        <v>0</v>
      </c>
      <c r="E8" s="51">
        <f>COUNTIF(Auth!J10:J29, "Fail")</f>
        <v>0</v>
      </c>
      <c r="F8" s="51">
        <f>COUNTIF(Auth!J10:J29, "Pending")</f>
        <v>0</v>
      </c>
      <c r="G8" s="246">
        <f>Auth!D7</f>
        <v>26</v>
      </c>
      <c r="H8" s="247"/>
    </row>
    <row r="9" spans="1:8" s="45" customFormat="1" ht="40.15" customHeight="1">
      <c r="A9" s="15"/>
      <c r="B9" s="53">
        <v>2</v>
      </c>
      <c r="C9" s="54" t="s">
        <v>552</v>
      </c>
      <c r="D9" s="51">
        <f>COUNTIF(Home!J10:J29, "Pass")</f>
        <v>0</v>
      </c>
      <c r="E9" s="51">
        <f>COUNTIF(Home!J10:J29, "Fail")</f>
        <v>0</v>
      </c>
      <c r="F9" s="51">
        <f>COUNTIF(Home!J10:J29, "Pending")</f>
        <v>0</v>
      </c>
      <c r="G9" s="248">
        <f>Home!D7</f>
        <v>17</v>
      </c>
      <c r="H9" s="249"/>
    </row>
    <row r="10" spans="1:8" s="45" customFormat="1" ht="40.15" customHeight="1">
      <c r="A10" s="15"/>
      <c r="B10" s="51">
        <v>3</v>
      </c>
      <c r="C10" s="52" t="s">
        <v>553</v>
      </c>
      <c r="D10" s="51">
        <f>COUNTIF(Favorite!J10:J29, "Pass")</f>
        <v>0</v>
      </c>
      <c r="E10" s="51">
        <f>COUNTIF(Favorite!J10:J29, "Fail")</f>
        <v>0</v>
      </c>
      <c r="F10" s="51">
        <f>COUNTIF(Favorite!J10:J29, "Pending")</f>
        <v>8</v>
      </c>
      <c r="G10" s="254">
        <f>Favorite!D7</f>
        <v>8</v>
      </c>
      <c r="H10" s="247"/>
    </row>
    <row r="11" spans="1:8" s="45" customFormat="1" ht="40.15" customHeight="1">
      <c r="A11" s="15"/>
      <c r="B11" s="53">
        <v>4</v>
      </c>
      <c r="C11" s="54" t="s">
        <v>554</v>
      </c>
      <c r="D11" s="51">
        <f>COUNTIF(Booking!J10:J42, "Pass")</f>
        <v>0</v>
      </c>
      <c r="E11" s="51">
        <f>COUNTIF(Booking!J10:J42, "Fail")</f>
        <v>0</v>
      </c>
      <c r="F11" s="51">
        <f>COUNTIF(Booking!J10:J42, "Pending")</f>
        <v>23</v>
      </c>
      <c r="G11" s="248">
        <f>Booking!D7</f>
        <v>23</v>
      </c>
      <c r="H11" s="249"/>
    </row>
    <row r="12" spans="1:8" s="45" customFormat="1" ht="40.15" customHeight="1">
      <c r="A12" s="15"/>
      <c r="B12" s="51">
        <v>5</v>
      </c>
      <c r="C12" s="52" t="s">
        <v>555</v>
      </c>
      <c r="D12" s="51">
        <f>COUNTIF('Cancel Booking'!J10:J29, "Pass")</f>
        <v>0</v>
      </c>
      <c r="E12" s="51">
        <f>COUNTIF('Cancel Booking'!J10:J29, "Fail")</f>
        <v>0</v>
      </c>
      <c r="F12" s="51">
        <f>COUNTIF('Cancel Booking'!J10:J29, "Pending")</f>
        <v>12</v>
      </c>
      <c r="G12" s="246">
        <f>'Cancel Booking'!D7</f>
        <v>12</v>
      </c>
      <c r="H12" s="247"/>
    </row>
    <row r="13" spans="1:8" s="45" customFormat="1" ht="40.15" customHeight="1">
      <c r="A13" s="15"/>
      <c r="B13" s="53">
        <v>6</v>
      </c>
      <c r="C13" s="54" t="s">
        <v>556</v>
      </c>
      <c r="D13" s="51">
        <f>COUNTIF(Review!J10:J29, "Pass")</f>
        <v>0</v>
      </c>
      <c r="E13" s="51">
        <f>COUNTIF(Review!J10:J29, "Fail")</f>
        <v>0</v>
      </c>
      <c r="F13" s="51">
        <f>COUNTIF(Review!J10:J29, "Pending")</f>
        <v>10</v>
      </c>
      <c r="G13" s="248">
        <f>Review!D7</f>
        <v>10</v>
      </c>
      <c r="H13" s="249"/>
    </row>
    <row r="14" spans="1:8" s="45" customFormat="1" ht="40.15" customHeight="1">
      <c r="A14" s="15"/>
      <c r="B14" s="51">
        <v>7</v>
      </c>
      <c r="C14" s="52" t="s">
        <v>557</v>
      </c>
      <c r="D14" s="51">
        <f>COUNTIF(Admin!J10:J29, "Pass")</f>
        <v>0</v>
      </c>
      <c r="E14" s="51">
        <f>COUNTIF(Admin!J10:J29, "Fail")</f>
        <v>0</v>
      </c>
      <c r="F14" s="51">
        <f>COUNTIF(Admin!J10:J29, "Pending")</f>
        <v>0</v>
      </c>
      <c r="G14" s="246">
        <f>Admin!D7</f>
        <v>14</v>
      </c>
      <c r="H14" s="247"/>
    </row>
    <row r="15" spans="1:8" ht="40.15" customHeight="1">
      <c r="A15" s="5"/>
      <c r="B15" s="53">
        <v>8</v>
      </c>
      <c r="C15" s="54" t="s">
        <v>558</v>
      </c>
      <c r="D15" s="51">
        <f>COUNTIF(Venue!J10:J29, "Pass")</f>
        <v>0</v>
      </c>
      <c r="E15" s="51">
        <f>COUNTIF(Venue!J10:J29, "Fail")</f>
        <v>0</v>
      </c>
      <c r="F15" s="51">
        <f>COUNTIF(Venue!J10:J29, "Pending")</f>
        <v>6</v>
      </c>
      <c r="G15" s="248">
        <f>Venue!D7</f>
        <v>6</v>
      </c>
      <c r="H15" s="249"/>
    </row>
    <row r="16" spans="1:8" ht="40.15" customHeight="1">
      <c r="A16" s="5"/>
      <c r="B16" s="34"/>
      <c r="C16" s="35" t="s">
        <v>559</v>
      </c>
      <c r="D16" s="37">
        <f t="shared" ref="D16:E16" si="0">SUM(D8:D15)</f>
        <v>0</v>
      </c>
      <c r="E16" s="37">
        <f t="shared" si="0"/>
        <v>0</v>
      </c>
      <c r="F16" s="37">
        <f>SUM(F8:F15)</f>
        <v>59</v>
      </c>
      <c r="G16" s="250">
        <f>SUM(G8:H15)</f>
        <v>116</v>
      </c>
      <c r="H16" s="251"/>
    </row>
    <row r="17" spans="1:9" ht="14.25">
      <c r="A17" s="5"/>
      <c r="B17" s="41"/>
      <c r="C17" s="5"/>
      <c r="D17" s="42"/>
      <c r="E17" s="43"/>
      <c r="F17" s="43"/>
      <c r="G17" s="43"/>
    </row>
    <row r="18" spans="1:9" ht="14.25">
      <c r="A18" s="5"/>
      <c r="B18" s="5"/>
      <c r="C18" s="5" t="s">
        <v>560</v>
      </c>
      <c r="D18" s="5"/>
      <c r="E18" s="44">
        <f>(D16+E16)*100/G16</f>
        <v>0</v>
      </c>
      <c r="F18" s="5" t="s">
        <v>561</v>
      </c>
      <c r="G18" s="55"/>
    </row>
    <row r="19" spans="1:9" ht="14.25">
      <c r="A19" s="5"/>
      <c r="B19" s="5"/>
      <c r="C19" s="5" t="s">
        <v>562</v>
      </c>
      <c r="D19" s="5"/>
      <c r="E19" s="44">
        <f>D16*100/G16</f>
        <v>0</v>
      </c>
      <c r="F19" s="5" t="s">
        <v>561</v>
      </c>
      <c r="G19" s="55"/>
    </row>
    <row r="22" spans="1:9" ht="22.5">
      <c r="A22" s="1" t="s">
        <v>563</v>
      </c>
      <c r="B22" s="2"/>
      <c r="C22" s="3"/>
      <c r="D22" s="3"/>
      <c r="E22" s="3"/>
      <c r="F22" s="3"/>
      <c r="G22" s="3"/>
      <c r="H22" s="3"/>
      <c r="I22" s="3"/>
    </row>
    <row r="23" spans="1:9" ht="22.5">
      <c r="A23" s="4"/>
      <c r="B23" s="2"/>
      <c r="C23" s="3"/>
      <c r="D23" s="3"/>
      <c r="E23" s="3"/>
      <c r="F23" s="3"/>
      <c r="G23" s="3"/>
      <c r="H23" s="3"/>
      <c r="I23" s="3"/>
    </row>
    <row r="24" spans="1:9" ht="14.25">
      <c r="B24" s="5" t="s">
        <v>546</v>
      </c>
      <c r="C24" s="3" t="s">
        <v>564</v>
      </c>
      <c r="D24" s="3"/>
      <c r="E24" s="3"/>
      <c r="F24" s="3"/>
      <c r="G24" s="3"/>
      <c r="H24" s="3"/>
      <c r="I24" s="3"/>
    </row>
    <row r="25" spans="1:9" ht="14.25">
      <c r="B25" s="5"/>
      <c r="C25" s="6"/>
      <c r="D25" s="5"/>
      <c r="E25" s="7"/>
      <c r="F25" s="5"/>
      <c r="G25" s="5"/>
      <c r="H25" s="5"/>
      <c r="I25" s="5"/>
    </row>
    <row r="26" spans="1:9" ht="14.25">
      <c r="B26" s="5"/>
      <c r="C26" s="8"/>
      <c r="D26" s="5"/>
      <c r="E26" s="5"/>
      <c r="F26" s="5"/>
      <c r="G26" s="5"/>
      <c r="H26" s="5"/>
      <c r="I26" s="5"/>
    </row>
    <row r="27" spans="1:9" ht="15">
      <c r="A27" s="5"/>
      <c r="B27" s="5"/>
      <c r="C27" s="5"/>
      <c r="D27" s="9"/>
      <c r="E27" s="9"/>
      <c r="F27" s="9"/>
      <c r="G27" s="9"/>
      <c r="H27" s="9"/>
      <c r="I27" s="9"/>
    </row>
    <row r="28" spans="1:9" ht="15">
      <c r="A28" s="5"/>
      <c r="B28" s="5"/>
      <c r="C28" s="5"/>
      <c r="D28" s="9"/>
      <c r="E28" s="9"/>
      <c r="F28" s="9"/>
      <c r="G28" s="9"/>
      <c r="H28" s="9"/>
      <c r="I28" s="9"/>
    </row>
    <row r="29" spans="1:9" ht="14.25">
      <c r="A29" s="5"/>
      <c r="B29" s="10" t="s">
        <v>547</v>
      </c>
      <c r="C29" s="11" t="s">
        <v>565</v>
      </c>
      <c r="D29" s="12" t="s">
        <v>566</v>
      </c>
      <c r="E29" s="13" t="s">
        <v>567</v>
      </c>
      <c r="F29" s="13" t="s">
        <v>568</v>
      </c>
      <c r="G29" s="13" t="s">
        <v>569</v>
      </c>
      <c r="H29" s="14" t="s">
        <v>570</v>
      </c>
      <c r="I29" s="14"/>
    </row>
    <row r="30" spans="1:9" ht="14.25">
      <c r="A30" s="5"/>
      <c r="B30" s="278" t="s">
        <v>44</v>
      </c>
      <c r="C30" s="274" t="s">
        <v>571</v>
      </c>
      <c r="D30" s="16">
        <v>12</v>
      </c>
      <c r="E30" s="17">
        <v>0</v>
      </c>
      <c r="F30" s="18">
        <v>1</v>
      </c>
      <c r="G30" s="19" t="s">
        <v>572</v>
      </c>
      <c r="H30" s="20" t="s">
        <v>572</v>
      </c>
      <c r="I30" s="263"/>
    </row>
    <row r="31" spans="1:9" ht="14.25">
      <c r="A31" s="5"/>
      <c r="B31" s="279"/>
      <c r="C31" s="274" t="s">
        <v>573</v>
      </c>
      <c r="D31" s="21">
        <v>92</v>
      </c>
      <c r="E31" s="22">
        <v>4</v>
      </c>
      <c r="F31" s="23">
        <v>0.96</v>
      </c>
      <c r="G31" s="24" t="s">
        <v>574</v>
      </c>
      <c r="H31" s="25" t="s">
        <v>575</v>
      </c>
      <c r="I31" s="263"/>
    </row>
    <row r="32" spans="1:9" ht="17.25" customHeight="1">
      <c r="A32" s="5"/>
      <c r="B32" s="279"/>
      <c r="C32" s="274" t="s">
        <v>576</v>
      </c>
      <c r="D32" s="21">
        <v>137</v>
      </c>
      <c r="E32" s="26">
        <v>29</v>
      </c>
      <c r="F32" s="27">
        <v>0.79</v>
      </c>
      <c r="G32" s="28" t="s">
        <v>587</v>
      </c>
      <c r="H32" s="260" t="s">
        <v>577</v>
      </c>
      <c r="I32" s="263"/>
    </row>
    <row r="33" spans="1:9" ht="17.25" customHeight="1">
      <c r="A33" s="5"/>
      <c r="B33" s="279"/>
      <c r="C33" s="274" t="s">
        <v>578</v>
      </c>
      <c r="D33" s="21">
        <v>541</v>
      </c>
      <c r="E33" s="29">
        <v>123</v>
      </c>
      <c r="F33" s="30">
        <v>0.77</v>
      </c>
      <c r="G33" s="166" t="s">
        <v>585</v>
      </c>
      <c r="H33" s="31" t="s">
        <v>586</v>
      </c>
      <c r="I33" s="263"/>
    </row>
    <row r="34" spans="1:9" ht="16.5" customHeight="1">
      <c r="A34" s="5"/>
      <c r="B34" s="280"/>
      <c r="C34" s="275" t="s">
        <v>579</v>
      </c>
      <c r="D34" s="171">
        <v>167</v>
      </c>
      <c r="E34" s="266">
        <v>5</v>
      </c>
      <c r="F34" s="173">
        <v>0.97</v>
      </c>
      <c r="G34" s="174" t="s">
        <v>580</v>
      </c>
      <c r="H34" s="264" t="s">
        <v>581</v>
      </c>
      <c r="I34" s="265"/>
    </row>
    <row r="35" spans="1:9" ht="16.5" customHeight="1">
      <c r="A35" s="5"/>
      <c r="B35" s="282" t="s">
        <v>588</v>
      </c>
      <c r="C35" s="276" t="s">
        <v>571</v>
      </c>
      <c r="D35" s="256">
        <v>12</v>
      </c>
      <c r="E35" s="267">
        <v>0</v>
      </c>
      <c r="F35" s="269">
        <v>1</v>
      </c>
      <c r="G35" s="270" t="s">
        <v>572</v>
      </c>
      <c r="H35" s="271" t="s">
        <v>572</v>
      </c>
      <c r="I35" s="258"/>
    </row>
    <row r="36" spans="1:9" ht="16.5" customHeight="1">
      <c r="A36" s="5"/>
      <c r="B36" s="279"/>
      <c r="C36" s="281" t="s">
        <v>573</v>
      </c>
      <c r="D36" s="21">
        <v>92</v>
      </c>
      <c r="E36" s="22">
        <v>4</v>
      </c>
      <c r="F36" s="23">
        <v>0.96</v>
      </c>
      <c r="G36" s="24" t="s">
        <v>574</v>
      </c>
      <c r="H36" s="25" t="s">
        <v>575</v>
      </c>
      <c r="I36" s="259"/>
    </row>
    <row r="37" spans="1:9" ht="16.5" customHeight="1">
      <c r="A37" s="5"/>
      <c r="B37" s="279"/>
      <c r="C37" s="274" t="s">
        <v>576</v>
      </c>
      <c r="D37" s="21">
        <v>137</v>
      </c>
      <c r="E37" s="26">
        <v>29</v>
      </c>
      <c r="F37" s="27">
        <v>0.79</v>
      </c>
      <c r="G37" s="28" t="s">
        <v>582</v>
      </c>
      <c r="H37" s="260" t="s">
        <v>577</v>
      </c>
      <c r="I37" s="259"/>
    </row>
    <row r="38" spans="1:9" ht="16.5" customHeight="1">
      <c r="A38" s="5"/>
      <c r="B38" s="279"/>
      <c r="C38" s="274" t="s">
        <v>578</v>
      </c>
      <c r="D38" s="21">
        <v>541</v>
      </c>
      <c r="E38" s="29">
        <v>123</v>
      </c>
      <c r="F38" s="30">
        <v>0.83</v>
      </c>
      <c r="G38" s="166" t="s">
        <v>583</v>
      </c>
      <c r="H38" s="31" t="s">
        <v>584</v>
      </c>
      <c r="I38" s="259"/>
    </row>
    <row r="39" spans="1:9" ht="16.5" customHeight="1">
      <c r="A39" s="5"/>
      <c r="B39" s="280"/>
      <c r="C39" s="275" t="s">
        <v>579</v>
      </c>
      <c r="D39" s="171">
        <v>167</v>
      </c>
      <c r="E39" s="172">
        <v>5</v>
      </c>
      <c r="F39" s="173">
        <v>0.97</v>
      </c>
      <c r="G39" s="272" t="s">
        <v>580</v>
      </c>
      <c r="H39" s="264" t="s">
        <v>581</v>
      </c>
      <c r="I39" s="273"/>
    </row>
    <row r="40" spans="1:9" ht="16.5" customHeight="1">
      <c r="A40" s="15"/>
      <c r="B40" s="282" t="s">
        <v>589</v>
      </c>
      <c r="C40" s="277" t="s">
        <v>571</v>
      </c>
      <c r="D40" s="167">
        <v>12</v>
      </c>
      <c r="E40" s="268">
        <v>0</v>
      </c>
      <c r="F40" s="168">
        <v>1</v>
      </c>
      <c r="G40" s="169" t="s">
        <v>572</v>
      </c>
      <c r="H40" s="170" t="s">
        <v>572</v>
      </c>
      <c r="I40" s="262"/>
    </row>
    <row r="41" spans="1:9" ht="14.25" customHeight="1">
      <c r="A41" s="15"/>
      <c r="B41" s="279"/>
      <c r="C41" s="274" t="s">
        <v>573</v>
      </c>
      <c r="D41" s="21">
        <v>92</v>
      </c>
      <c r="E41" s="22">
        <v>0</v>
      </c>
      <c r="F41" s="23">
        <v>1</v>
      </c>
      <c r="G41" s="24" t="s">
        <v>572</v>
      </c>
      <c r="H41" s="25" t="s">
        <v>572</v>
      </c>
      <c r="I41" s="263"/>
    </row>
    <row r="42" spans="1:9" ht="17.25" customHeight="1">
      <c r="A42" s="15"/>
      <c r="B42" s="279"/>
      <c r="C42" s="274" t="s">
        <v>576</v>
      </c>
      <c r="D42" s="21">
        <v>137</v>
      </c>
      <c r="E42" s="26">
        <v>0</v>
      </c>
      <c r="F42" s="27">
        <v>1</v>
      </c>
      <c r="G42" s="28" t="s">
        <v>572</v>
      </c>
      <c r="H42" s="260" t="s">
        <v>572</v>
      </c>
      <c r="I42" s="263"/>
    </row>
    <row r="43" spans="1:9" ht="12.75" customHeight="1">
      <c r="A43" s="15"/>
      <c r="B43" s="279"/>
      <c r="C43" s="274" t="s">
        <v>578</v>
      </c>
      <c r="D43" s="21">
        <v>541</v>
      </c>
      <c r="E43" s="29">
        <v>3</v>
      </c>
      <c r="F43" s="30">
        <v>0.99</v>
      </c>
      <c r="G43" s="166" t="s">
        <v>590</v>
      </c>
      <c r="H43" s="31" t="s">
        <v>592</v>
      </c>
      <c r="I43" s="263"/>
    </row>
    <row r="44" spans="1:9" ht="14.25" customHeight="1">
      <c r="A44" s="15"/>
      <c r="B44" s="283"/>
      <c r="C44" s="274" t="s">
        <v>579</v>
      </c>
      <c r="D44" s="21">
        <v>167</v>
      </c>
      <c r="E44" s="32">
        <v>4</v>
      </c>
      <c r="F44" s="33">
        <v>0.98</v>
      </c>
      <c r="G44" s="255" t="s">
        <v>591</v>
      </c>
      <c r="H44" s="261" t="s">
        <v>593</v>
      </c>
      <c r="I44" s="263"/>
    </row>
    <row r="45" spans="1:9" ht="14.25">
      <c r="A45" s="5"/>
      <c r="B45" s="34"/>
      <c r="C45" s="35" t="s">
        <v>559</v>
      </c>
      <c r="D45" s="36">
        <f>SUM(D28:D44)</f>
        <v>2847</v>
      </c>
      <c r="E45" s="37">
        <f>SUM(E28:E44)</f>
        <v>329</v>
      </c>
      <c r="F45" s="36"/>
      <c r="G45" s="38"/>
      <c r="H45" s="39"/>
      <c r="I45" s="40"/>
    </row>
    <row r="46" spans="1:9" ht="14.25">
      <c r="A46" s="5"/>
      <c r="B46" s="41"/>
      <c r="C46" s="5"/>
      <c r="D46" s="42"/>
      <c r="E46" s="43"/>
      <c r="F46" s="43"/>
      <c r="G46" s="43"/>
      <c r="H46" s="43"/>
      <c r="I46" s="43"/>
    </row>
    <row r="49" spans="7:7">
      <c r="G49" s="257"/>
    </row>
  </sheetData>
  <mergeCells count="15">
    <mergeCell ref="G7:H7"/>
    <mergeCell ref="G8:H8"/>
    <mergeCell ref="G9:H9"/>
    <mergeCell ref="G10:H10"/>
    <mergeCell ref="G11:H11"/>
    <mergeCell ref="B40:B44"/>
    <mergeCell ref="I40:I44"/>
    <mergeCell ref="G12:H12"/>
    <mergeCell ref="G13:H13"/>
    <mergeCell ref="G14:H14"/>
    <mergeCell ref="G15:H15"/>
    <mergeCell ref="G16:H16"/>
    <mergeCell ref="B30:B34"/>
    <mergeCell ref="I30:I34"/>
    <mergeCell ref="B35:B39"/>
  </mergeCells>
  <pageMargins left="0.75" right="0.75" top="1" bottom="1" header="0.5" footer="0.5"/>
  <pageSetup orientation="landscape"/>
  <headerFooter alignWithMargins="0">
    <oddFooter>&amp;L&amp;"Tahoma,Regular"&amp;8 02ae-BM/PM/HDCV/FSOFT v1/0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Booking</vt:lpstr>
      <vt:lpstr>Review</vt:lpstr>
      <vt:lpstr>Venue</vt:lpstr>
      <vt:lpstr>Cancel Booking</vt:lpstr>
      <vt:lpstr>Auth</vt:lpstr>
      <vt:lpstr>Admin</vt:lpstr>
      <vt:lpstr>Favorite</vt:lpstr>
      <vt:lpstr>Home</vt:lpstr>
      <vt:lpstr>Pay</vt:lpstr>
      <vt:lpstr>Samples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ADMIN</cp:lastModifiedBy>
  <cp:lastPrinted>2006-08-02T10:15:00Z</cp:lastPrinted>
  <dcterms:created xsi:type="dcterms:W3CDTF">2002-07-27T17:17:00Z</dcterms:created>
  <dcterms:modified xsi:type="dcterms:W3CDTF">2026-04-29T08:05:48Z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  <property fmtid="{D5CDD505-2E9C-101B-9397-08002B2CF9AE}" pid="3" name="ICV">
    <vt:lpwstr>20A95DD9B6FC487E8574604746F5BDCD_12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
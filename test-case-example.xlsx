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ministrator\sports-field-booking-management\"/>
    </mc:Choice>
  </mc:AlternateContent>
  <bookViews>
    <workbookView xWindow="-105" yWindow="-105" windowWidth="23250" windowHeight="12450" tabRatio="821" activeTab="1"/>
  </bookViews>
  <sheets>
    <sheet name="Cover" sheetId="97" r:id="rId1"/>
    <sheet name="Favorite" sheetId="126" r:id="rId2"/>
    <sheet name="Samples" sheetId="122" r:id="rId3"/>
    <sheet name="Sheet1" sheetId="125" r:id="rId4"/>
    <sheet name="Booking" sheetId="124" r:id="rId5"/>
    <sheet name="Cancel Booking" sheetId="123" r:id="rId6"/>
    <sheet name="Test Report" sheetId="107" r:id="rId7"/>
  </sheets>
  <externalReferences>
    <externalReference r:id="rId8"/>
  </externalReferences>
  <definedNames>
    <definedName name="Access">[1]Validation!$E$2:$E$223</definedName>
    <definedName name="AccessCircuit">[1]Validation!$C$2:$C$29</definedName>
    <definedName name="ACTION">#REF!</definedName>
    <definedName name="CoS">[1]Validation!$G$2:$G$47</definedName>
    <definedName name="Countries">[1]Validation!$A$2:$A$301</definedName>
    <definedName name="DSLCheckService">[1]Validation!$H$2:$H$4</definedName>
    <definedName name="Port">[1]Validation!$F$2:$F$40</definedName>
    <definedName name="VancoProducts">[1]Validation!$B$2:$B$4</definedName>
  </definedNames>
  <calcPr calcId="162913"/>
</workbook>
</file>

<file path=xl/calcChain.xml><?xml version="1.0" encoding="utf-8"?>
<calcChain xmlns="http://schemas.openxmlformats.org/spreadsheetml/2006/main">
  <c r="D7" i="126" l="1"/>
  <c r="B7" i="126"/>
  <c r="D6" i="126"/>
  <c r="B6" i="126"/>
  <c r="D7" i="123"/>
  <c r="E13" i="107" l="1"/>
  <c r="E12" i="107"/>
  <c r="G10" i="107"/>
  <c r="F10" i="107"/>
  <c r="E10" i="107"/>
  <c r="D10" i="107"/>
  <c r="G8" i="107"/>
  <c r="F8" i="107"/>
  <c r="E8" i="107"/>
  <c r="D8" i="107"/>
  <c r="C8" i="107"/>
  <c r="B7" i="123"/>
  <c r="D6" i="123"/>
  <c r="B6" i="123"/>
  <c r="D7" i="122"/>
  <c r="B7" i="122"/>
  <c r="D6" i="122"/>
  <c r="B6" i="122"/>
</calcChain>
</file>

<file path=xl/sharedStrings.xml><?xml version="1.0" encoding="utf-8"?>
<sst xmlns="http://schemas.openxmlformats.org/spreadsheetml/2006/main" count="361" uniqueCount="202">
  <si>
    <t>TEST CASE</t>
  </si>
  <si>
    <t>Version:</t>
  </si>
  <si>
    <t>Issue date:</t>
  </si>
  <si>
    <t>15/04/2026</t>
  </si>
  <si>
    <t>Project Name:</t>
  </si>
  <si>
    <t>Quản lý đặt sân thể thao</t>
  </si>
  <si>
    <t>Project Code:</t>
  </si>
  <si>
    <t>SPORT-BOOKING-01</t>
  </si>
  <si>
    <t>Record of change:</t>
  </si>
  <si>
    <t>Version</t>
  </si>
  <si>
    <t>Change location</t>
  </si>
  <si>
    <t>Change description</t>
  </si>
  <si>
    <t>Originator</t>
  </si>
  <si>
    <t>Reviewer/
Approver</t>
  </si>
  <si>
    <t>Reference</t>
  </si>
  <si>
    <r>
      <rPr>
        <b/>
        <sz val="10"/>
        <rFont val="Tahoma"/>
        <charset val="134"/>
      </rPr>
      <t>System Name</t>
    </r>
    <r>
      <rPr>
        <b/>
        <sz val="10"/>
        <rFont val="ＭＳ Ｐゴシック"/>
        <charset val="128"/>
      </rPr>
      <t>：</t>
    </r>
  </si>
  <si>
    <t>Sample Project</t>
  </si>
  <si>
    <r>
      <rPr>
        <b/>
        <sz val="10"/>
        <rFont val="Tahoma"/>
        <charset val="134"/>
      </rPr>
      <t>Module Code</t>
    </r>
    <r>
      <rPr>
        <b/>
        <sz val="10"/>
        <rFont val="MS Gothic"/>
        <charset val="134"/>
      </rPr>
      <t>：</t>
    </r>
  </si>
  <si>
    <t>CR100 - Export to excel</t>
  </si>
  <si>
    <t>Test requirement:</t>
  </si>
  <si>
    <t xml:space="preserve">CR1 - </t>
  </si>
  <si>
    <t>Pass</t>
  </si>
  <si>
    <t>Pending</t>
  </si>
  <si>
    <t>Fail</t>
  </si>
  <si>
    <t>Number of test cases:</t>
  </si>
  <si>
    <t>ID</t>
  </si>
  <si>
    <t>Test Case Description</t>
  </si>
  <si>
    <t>Test Case Procedure</t>
  </si>
  <si>
    <t>Expected Results</t>
  </si>
  <si>
    <t>Actual Results</t>
  </si>
  <si>
    <t>Test date</t>
  </si>
  <si>
    <t>Status</t>
  </si>
  <si>
    <t>Note</t>
  </si>
  <si>
    <t>1. Check add role "CanExportAllCarrierChoises": This will be typically set for System users only</t>
  </si>
  <si>
    <t>TC1</t>
  </si>
  <si>
    <t>Checking new role is added</t>
  </si>
  <si>
    <t xml:space="preserve">1: Go to the system TestProEngine with Classic or Current or Expert Mode
2: Go to maintenance 
3: Click Maintenance Users
4: Click Role Tab
</t>
  </si>
  <si>
    <r>
      <rPr>
        <sz val="10"/>
        <color indexed="8"/>
        <rFont val="Tahoma"/>
        <charset val="134"/>
      </rPr>
      <t>Role Tab is added a new role, it's name "</t>
    </r>
    <r>
      <rPr>
        <b/>
        <sz val="10"/>
        <color indexed="8"/>
        <rFont val="Tahoma"/>
        <charset val="134"/>
      </rPr>
      <t>CanExportAllCarrierChoices"</t>
    </r>
  </si>
  <si>
    <t>Check set Role CanExportAllCarrierChoices = True</t>
  </si>
  <si>
    <t>TC2</t>
  </si>
  <si>
    <r>
      <rPr>
        <sz val="10"/>
        <color indexed="8"/>
        <rFont val="Tahoma"/>
        <charset val="134"/>
      </rPr>
      <t xml:space="preserve">Checking new function is added in </t>
    </r>
    <r>
      <rPr>
        <b/>
        <sz val="10"/>
        <color indexed="8"/>
        <rFont val="Tahoma"/>
        <charset val="134"/>
      </rPr>
      <t>Classic or Current Mode</t>
    </r>
  </si>
  <si>
    <t>1: Go to the system TestProEngine with Classic or Current  Mode that has to set role "CanExportAllCarrierChoices"
2: Submit for the quote 
3: Open the quote at the home
4: Go to Quick Links</t>
  </si>
  <si>
    <r>
      <rPr>
        <b/>
        <sz val="10"/>
        <color indexed="8"/>
        <rFont val="Tahoma"/>
        <charset val="134"/>
      </rPr>
      <t>See</t>
    </r>
    <r>
      <rPr>
        <sz val="10"/>
        <color indexed="8"/>
        <rFont val="Tahoma"/>
        <charset val="134"/>
      </rPr>
      <t xml:space="preserve"> a new selector: "</t>
    </r>
    <r>
      <rPr>
        <b/>
        <sz val="10"/>
        <color indexed="8"/>
        <rFont val="Tahoma"/>
        <charset val="134"/>
      </rPr>
      <t>Export all Carriers"</t>
    </r>
  </si>
  <si>
    <t>Check set Role CanExportAllCarrierChoices = False</t>
  </si>
  <si>
    <t>TC3</t>
  </si>
  <si>
    <t>1: Go to the system TestProEngine with Classic or Current  Mode that has not to set role "CanExportAllCarrierChoices"
2: Submit for the quote 
3: Open the quote at the home
4: Go to Quick Links</t>
  </si>
  <si>
    <r>
      <rPr>
        <b/>
        <sz val="10"/>
        <color indexed="8"/>
        <rFont val="Tahoma"/>
        <charset val="134"/>
      </rPr>
      <t>Don't see</t>
    </r>
    <r>
      <rPr>
        <sz val="10"/>
        <color indexed="8"/>
        <rFont val="Tahoma"/>
        <charset val="134"/>
      </rPr>
      <t xml:space="preserve"> a new selector: "</t>
    </r>
    <r>
      <rPr>
        <b/>
        <sz val="10"/>
        <color indexed="8"/>
        <rFont val="Tahoma"/>
        <charset val="134"/>
      </rPr>
      <t>Export all Carriers"</t>
    </r>
  </si>
  <si>
    <t>BOOKING</t>
  </si>
  <si>
    <t>QUẢN LÝ ĐẶT SÂN THỂ THAO</t>
  </si>
  <si>
    <t>CR100 - BOOKING</t>
  </si>
  <si>
    <t>1. Không cho phép đặt sân khi chưa đăng nhập</t>
  </si>
  <si>
    <t>Truy cập ở trạng thái chưa đăng nhập  và nhấn vào "Đặt sân ngay"</t>
  </si>
  <si>
    <t>1: Truy cập trang khi chưa đăng nhập
2: Nhấn vào nút "Đặt lịch" tại sân muốn đặt để đi đến trang chi tiết sân
3: Chọn ngày và thời gian muốn đặt sân
4: Nhấn nút "Đặt sân ngay"</t>
  </si>
  <si>
    <r>
      <rPr>
        <sz val="10"/>
        <color rgb="FF000000"/>
        <rFont val="Tahoma"/>
        <charset val="134"/>
      </rPr>
      <t xml:space="preserve">Hệ thống thông báo </t>
    </r>
    <r>
      <rPr>
        <b/>
        <sz val="10"/>
        <color rgb="FF000000"/>
        <rFont val="Tahoma"/>
        <charset val="134"/>
      </rPr>
      <t>"Vui lòng đăng nhập để đặt sân!"</t>
    </r>
  </si>
  <si>
    <t>2. Đăng nhập tài khoản thành công và thực hiện đặt sân</t>
  </si>
  <si>
    <t>Truy cập bằng tài khoản thành công và nhấn "Đặt sân ngay"</t>
  </si>
  <si>
    <t>1: Truy cập trang khi đã đăng nhập
2: Nhấn vào nút "Đặt lịch" tại sân muốn đặt để đi đến trang chi tiết sân
3: Chọn ngày và thời gian muốn đặt sân
4: Nhấn nút "Đặt sân ngay"</t>
  </si>
  <si>
    <r>
      <rPr>
        <sz val="10"/>
        <color rgb="FF000000"/>
        <rFont val="Tahoma"/>
        <charset val="134"/>
      </rPr>
      <t xml:space="preserve">Hệ thống thông báo </t>
    </r>
    <r>
      <rPr>
        <b/>
        <sz val="10"/>
        <color rgb="FF000000"/>
        <rFont val="Tahoma"/>
        <charset val="134"/>
      </rPr>
      <t>"Đặt sân thành công!"</t>
    </r>
    <r>
      <rPr>
        <sz val="10"/>
        <color rgb="FF000000"/>
        <rFont val="Tahoma"/>
        <charset val="134"/>
      </rPr>
      <t xml:space="preserve"> và chuyển sân đã đặt sang tab </t>
    </r>
    <r>
      <rPr>
        <b/>
        <sz val="10"/>
        <color rgb="FF000000"/>
        <rFont val="Tahoma"/>
        <charset val="134"/>
      </rPr>
      <t>"Sân đã đặt"</t>
    </r>
  </si>
  <si>
    <t>3. Không được đặt sân trong quá khứ</t>
  </si>
  <si>
    <t>Chọn một ngày đã qua</t>
  </si>
  <si>
    <t>1: Chọn ngày đã qua trên lịch</t>
  </si>
  <si>
    <t>Nút ngày mờ đi không thể click vào</t>
  </si>
  <si>
    <t>4. Chọn ngày hiện tại nhưng không được chọn khung giờ đã trôi qua</t>
  </si>
  <si>
    <t>TC4</t>
  </si>
  <si>
    <t>Chọn ngày hiện tại và chọn thời gian đã qua</t>
  </si>
  <si>
    <t xml:space="preserve">1: Chọn ngày hiện tại
2: Chọn thời gian trong quá khứ
</t>
  </si>
  <si>
    <t>Nút thời gian mờ đi không thể chọn</t>
  </si>
  <si>
    <t>5. Một người chỉ được đặt tối đa 3 sân/ngày</t>
  </si>
  <si>
    <t>TC5</t>
  </si>
  <si>
    <t>Đặt từ 3 sân trở lại trong cùng 1 ngày thành công</t>
  </si>
  <si>
    <t>1: Đặt sân thứ nhất và thành công
2: Đặt sân thứ hai và thành công
3: Đặt sân thứ ba và thành công
4: Đặt sân thứ tư và nhận thông báo thất bại</t>
  </si>
  <si>
    <t>Cho phép người dùng đặt thành công 3 sân trong cùng 1 ngày, khi đặt tiếp thì nhận thông báo hệ thống "Bạn đã đạt giới hạn đặt sân trong ngày!"</t>
  </si>
  <si>
    <t>CR200 - CANCEL BOOKING</t>
  </si>
  <si>
    <t>1. Chỉ người đặt mới được hủy</t>
  </si>
  <si>
    <t>Hủy sân sau khi đặt sân trong cùng một tài khoản</t>
  </si>
  <si>
    <t xml:space="preserve">1: Truy cập vào trang và đăng nhập tài khoản thành công.
2: Chuyển tab "Sân đã đặt" nhấn "HỦY SÂN" cần hủy.
</t>
  </si>
  <si>
    <t>Hệ thống tự động tải lại trang, tab "Sân đã đặt" không còn sân vừa hủy.</t>
  </si>
  <si>
    <t>Hủy sân của một user khác</t>
  </si>
  <si>
    <t>1: Truy cập vào trang và đăng nhập user A thành công.
2: Đặt lịch ở user A rồi đăng nhập vào user B.
3: Chuyển tab "Sân đã đặt" để kiểm tra.</t>
  </si>
  <si>
    <t>Không thấy sân đã đặt lịch ở user A</t>
  </si>
  <si>
    <t>2. Không hủy khi còn &lt;2 giờ trước giờ chơi</t>
  </si>
  <si>
    <t>Hệ thống tự động tải lại trang, tab "Sân đã đặt" không còn booking #1.</t>
  </si>
  <si>
    <t>Booking #1 có giờ bắt đầu là 14:00 hôm nay. Thời gian hiện tại là 11:59:
1: Truy cập vào trang và đăng nhập tài khoản thành công.
2: Chuyển sang tab "Sân đã đặt".
3: Nhấn "HỦY SÂN" ở booking #1.</t>
  </si>
  <si>
    <t>Booking #1 có giờ bắt đầu là 14:00 hôm nay. Thời gian hiện tại là 12:00:
1: Truy cập vào trang và đăng nhập tài khoản thành công.
2: Chuyển sang tab "Sân đã đặt".
3: Nhấn "HỦY SÂN" ở booking #1.</t>
  </si>
  <si>
    <t>Hệ thống từ chối huỷ sân, hiển thị thông báo "Sân sắp đá, không được huỷ!"</t>
  </si>
  <si>
    <t>Booking #1 có giờ bắt đầu là 14:00 hôm nay. Thời gian hiện tại là 12:01:
1: Truy cập vào trang và đăng nhập tài khoản thành công.
2: Chuyển sang tab "Sân đã đặt".
3: Nhấn "HỦY SÂN" ở booking #1.</t>
  </si>
  <si>
    <t>3. Không hủy khi đang chơi</t>
  </si>
  <si>
    <t>Hủy một sân đang trong thời gian sử dụng</t>
  </si>
  <si>
    <t>1: Truy cập vào trang và đăng nhập tài khoản thành công.
2: Chuyển sang tab "Sân đã đặt".
3: Nhấn "HỦY SÂN" ở booking đang trong thời gian sử dụng.</t>
  </si>
  <si>
    <t>Hệ thống có thông báo "Sân đang trong giờ sử dụng, bạn không thể hủy lúc này!"</t>
  </si>
  <si>
    <t>Hủy một sân ngay khi vừa thi đấu xong</t>
  </si>
  <si>
    <t>1: Truy cập vào trang và đăng nhập tài khoản thành công.
2: Chuyển sang tab "Sân đã đặt".
3:  Nhấn "HỦY SÂN" ở booking vừa mới thi đấu xong.</t>
  </si>
  <si>
    <t>Hệ thống có thông báo "Sân này đã thi đấu xong, không thể hủy!"</t>
  </si>
  <si>
    <t>Hủy một sân sau khi vừa thi đấu xong 15 phút.</t>
  </si>
  <si>
    <t>1: Truy cập vào trang và đăng nhập tài khoản thành công.
2: Chuyển sang tab "Sân đã đặt".
3:  Nhấn "HỦY SÂN" ở booking đã qua thời gian sử dụng 15 phút.</t>
  </si>
  <si>
    <t>TEST REPORT</t>
  </si>
  <si>
    <t>Note:</t>
  </si>
  <si>
    <t>Date</t>
  </si>
  <si>
    <t>No</t>
  </si>
  <si>
    <t>Module code</t>
  </si>
  <si>
    <t>Number of  test cases</t>
  </si>
  <si>
    <t>Sub total</t>
  </si>
  <si>
    <t>Test coverage</t>
  </si>
  <si>
    <t>%</t>
  </si>
  <si>
    <t>Test successful coverage</t>
  </si>
  <si>
    <t xml:space="preserve">6.khung h tối thiếu &lt;1 </t>
  </si>
  <si>
    <t>tc1 slot &lt; 1h</t>
  </si>
  <si>
    <t>tc2 slot &gt;= 1h</t>
  </si>
  <si>
    <t xml:space="preserve">5.dăt tối đa 3 sân </t>
  </si>
  <si>
    <t xml:space="preserve">tc1 đặt &gt;3 sân cùng ngày bị từ chối </t>
  </si>
  <si>
    <t>tc2 booking bị hủy không tính vào giới hạn 3 sân/ngày</t>
  </si>
  <si>
    <t xml:space="preserve">7.không trùng khung giờ </t>
  </si>
  <si>
    <t xml:space="preserve">tc1 . Đặt trùng khung h với người đặt cùng sân </t>
  </si>
  <si>
    <t>tc2 . Cùng slot nhưng sân khác , dc phép đặt</t>
  </si>
  <si>
    <t xml:space="preserve">tc3. user đặt cùng sân cùng slot cùng ngày mà họ đã đặt trước đó </t>
  </si>
  <si>
    <t xml:space="preserve">8.hiển thị và tích hợp </t>
  </si>
  <si>
    <t xml:space="preserve">tc1 Slot đã đặt hiển thị booked=true trong API : nếu khung h đã được đặt , khi gọi API PHẢI TRẢ VỀ booking= true </t>
  </si>
  <si>
    <t>tc2 Trang venue_detail hiển thị đầy đủ thông tin</t>
  </si>
  <si>
    <t>tc3 API trả đúng số booking trong ngày</t>
  </si>
  <si>
    <t>tc4 Booking lưu đúng start_time và end_time</t>
  </si>
  <si>
    <t xml:space="preserve">test API - dữ liệu </t>
  </si>
  <si>
    <t>Mỹ Xuyên</t>
  </si>
  <si>
    <t>Đại Long</t>
  </si>
  <si>
    <t>Thúy Quyên</t>
  </si>
  <si>
    <t>S</t>
  </si>
  <si>
    <t>CR300 - AUTH</t>
  </si>
  <si>
    <t>Sheet Booking</t>
  </si>
  <si>
    <t>Sheet Cancel Booking</t>
  </si>
  <si>
    <t>Update testcase</t>
  </si>
  <si>
    <t>Chia modeul để thiết kế testcase</t>
  </si>
  <si>
    <t>1. 0</t>
  </si>
  <si>
    <t xml:space="preserve">tạo sheet booking và bắt đầu thiết kế </t>
  </si>
  <si>
    <t>Create file</t>
  </si>
  <si>
    <t>CR100-Booking</t>
  </si>
  <si>
    <t>CR200-Cancel-Booking</t>
  </si>
  <si>
    <t>CR300-Auth</t>
  </si>
  <si>
    <t>Sheet Auth</t>
  </si>
  <si>
    <t>Sheet Admin</t>
  </si>
  <si>
    <t>tạo sheet Auth và bắt đầu thiết kế</t>
  </si>
  <si>
    <t>tạo sheet cancel-booking và bắt đầu thiết kế</t>
  </si>
  <si>
    <t>tạo sheet Admin bắt đầu thiết kế</t>
  </si>
  <si>
    <t>CR400-Admin</t>
  </si>
  <si>
    <t xml:space="preserve">thêm tc 3 - tc 5 </t>
  </si>
  <si>
    <t>thêm tc 5 - tc10</t>
  </si>
  <si>
    <t>19/4/2026</t>
  </si>
  <si>
    <t>Sheet Auth - Sheet Admin</t>
  </si>
  <si>
    <t>CR300-Auth, CR400-Admin</t>
  </si>
  <si>
    <t>Huỷ một booking không tồn tại.</t>
  </si>
  <si>
    <t xml:space="preserve">1: Truy cập vào trang và đăng nhập tài khoản thành công.
2: Gửi yêu cầu POST api/cancel-booking/99999
</t>
  </si>
  <si>
    <t>Flash thông báo: "Không tìm thấy hoặc bạn không có quyền!"</t>
  </si>
  <si>
    <t>Hủy một sân khi còn 2 giờ 1 phút trước giờ chơi</t>
  </si>
  <si>
    <t>Huỷ một sân khi còn đúng 2 giờ trước giờ chơi</t>
  </si>
  <si>
    <t>TC6</t>
  </si>
  <si>
    <t>Huỷ một sân khi còn 1 giờ 59 phút trước giờ chơi</t>
  </si>
  <si>
    <t>TC7</t>
  </si>
  <si>
    <t>TC8</t>
  </si>
  <si>
    <t>TC9</t>
  </si>
  <si>
    <t>4. Những trường hợp khác</t>
  </si>
  <si>
    <t>TC10</t>
  </si>
  <si>
    <t>Sau khi huỷ, slot đó đó hiển thị là trống trở lại.</t>
  </si>
  <si>
    <t>1: Truy cập vào trang và đăng nhập tài khoản thành công.
2: Chuyển sang tab "Sân đã đặt".
3:  Nhấn "HỦY SÂN" ở một sân có status = confirmed trong bảng Booking trong database.
4: Kiểm tra lại trang chi tiết sân vừa huỷ.</t>
  </si>
  <si>
    <t>Khung thời gian trùng với khung thời gian của sân vừa huỷ không còn bị mờ đi nữa.</t>
  </si>
  <si>
    <t>TC11</t>
  </si>
  <si>
    <t>Booking bị xoá hoàn toàn</t>
  </si>
  <si>
    <t>1: Truy cập vào trang và đăng nhập tài khoản thành công.
2: Chuyển sang tab "Sân đã đặt".
3:  Nhấn "HỦY SÂN" ở một sân có status = confirmed trong bảng Booking trong database.
4: Kiểm tra lại bảng Booking trong database.</t>
  </si>
  <si>
    <t>Sân vừa huỷ không còn trong bảng Booking nữa.</t>
  </si>
  <si>
    <t>TC12</t>
  </si>
  <si>
    <t>Huỷ sân khi chưa đăng nhập</t>
  </si>
  <si>
    <t>1: Truy cập vào trang ở trạng thái chưa đăng nhập.
2: Chuyển sang tab "Sân đã đặt".</t>
  </si>
  <si>
    <t>Tab "Sân đã đặt" trống.</t>
  </si>
  <si>
    <t>Sheet Cancel Booking - Sheet Favorite</t>
  </si>
  <si>
    <t>thêm tc 11 - tc 12 ở sheet cancel-booking, tạo sheet favorite và bắt đầu thiết kế</t>
  </si>
  <si>
    <t xml:space="preserve">1. Toggle Favorite - Thêm và xoá </t>
  </si>
  <si>
    <t>Gọi POST api/favorite/1 khi chưa nhấn yêu thích.</t>
  </si>
  <si>
    <t xml:space="preserve">1: Truy cập trang và đăng nhập thành công.
2: Nhấn yêu thích sân có product_id = 1.
3: Gửi POST api/favorite/1
4: Kiểm tra kết quả.
</t>
  </si>
  <si>
    <t>api trả về {added: false; ok: true}</t>
  </si>
  <si>
    <t>Gọi POST api/favorite/1 khi vừa nhấn yêu thích.</t>
  </si>
  <si>
    <t>api trả về {added: true; ok: true}</t>
  </si>
  <si>
    <t>2. Hiển thị và đồng bộ favorite</t>
  </si>
  <si>
    <t>Kiểm tra Tab "Yêu thích" khi nhấn "Yêu thích" 3 sản phẩm.</t>
  </si>
  <si>
    <t>1: Truy cập trang và đăng nhập thành công.
2: Nhấn trái tim màu xám ở phía góc trên bên phải của 3 sản phẩm bất kỳ.
3: Chuyển sang tab "Yêu thích".
4: Kiểm tra các sản phẩm trong tab "Yêu thích"</t>
  </si>
  <si>
    <t>Tab "Yêu thích" hiển thị đầy đủ thông tin tên sân, giá cả, trái tim trên góc phải của sản phẩm chuyển thành màu đỏ.</t>
  </si>
  <si>
    <t>Kiểm tra Tab "Yêu thích" khi chưa đăng nhập.</t>
  </si>
  <si>
    <t>1: Truy cập trang và đăng nhập thành công.
2: Chuyển sang tab "Yêu thích".</t>
  </si>
  <si>
    <t>Tab "Yêu thích" rỗng, có thông báo "Bạn chưa có sân nào trong danh sách yêu thích."</t>
  </si>
  <si>
    <t>Huỷ yêu thích một sản phẩm ở tab "Yêu thích".</t>
  </si>
  <si>
    <t>1: Truy cập trang và đăng nhập thành công.
2: Chuyển sang tab "Yêu thích".
3: Nhấn trái tim màu đỏ ở phía trên góc phải của sản phẩm để huỷ yêu thích.</t>
  </si>
  <si>
    <t>Sản phẩm đó biến mất ngay lập tức khỏi tab "Yêu thích".</t>
  </si>
  <si>
    <t>Kiểm tra sự đồng bộ giữa</t>
  </si>
  <si>
    <t>1: Truy cập trang và mở thêm 1 tab trình duyệt, đăng nhập thành công cùng 1 tài khoản.
2: Tab A để trang "Danh sách sân" và tab B để trang "Yêu thích.
3: Tại Tab A, nhấn vào trái tim xám trên góc phải của một sản phẩm..
4: Kiểm tra danh sách "Yêu thích" ở tab B.</t>
  </si>
  <si>
    <t>1. Sản phẩm vừa nhấn yêu thích chưa hiển thị bên tab B ngay lập tức.
2: Tải lại trang, tab B hiển thị sân vừa nhấn yêu thích với thông tin chính xác.</t>
  </si>
  <si>
    <t>3. Các trường hợp đặc biệt</t>
  </si>
  <si>
    <t>Yêu thích một sân khi chưa đăng nhập</t>
  </si>
  <si>
    <t>1: Truy cập trang ở trạng thái chưa đăng nhập.
2: Nhấn vào trái tim xám phía trên một sản phẩm.
3: Quan sát thông báo.</t>
  </si>
  <si>
    <t>Flash hiển thị thông báo "Bạn cần đăng nhập!".</t>
  </si>
  <si>
    <t>Yêu thích một sân không tồn tại trong cơ sở dữ liệu.</t>
  </si>
  <si>
    <t>1: Truy cập trang và đăng nhập thành công.
2: Gửi yêu cầu POST api/favorite/9999</t>
  </si>
  <si>
    <t>HTTP 404. Server không bị crash</t>
  </si>
  <si>
    <t>CANCEL BOOKING</t>
  </si>
  <si>
    <t>FAVORITE</t>
  </si>
  <si>
    <t>CR200-Cancel-Booking, CR500-Favorite</t>
  </si>
  <si>
    <t>CR500 - Favorite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</si>
</sst>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\-yy;@"/>
    <numFmt numFmtId="165" formatCode="0.000"/>
  </numFmts>
  <fonts count="40">
    <font>
      <sz val="11"/>
      <name val="ＭＳ Ｐゴシック"/>
      <charset val="128"/>
    </font>
    <font>
      <b/>
      <sz val="18"/>
      <name val="Tahoma"/>
      <charset val="134"/>
    </font>
    <font>
      <b/>
      <sz val="10"/>
      <name val="Tahoma"/>
      <charset val="134"/>
    </font>
    <font>
      <sz val="10"/>
      <name val="Tahoma"/>
      <charset val="134"/>
    </font>
    <font>
      <b/>
      <sz val="10"/>
      <color indexed="9"/>
      <name val="Tahoma"/>
      <charset val="134"/>
    </font>
    <font>
      <sz val="10"/>
      <name val="ＭＳ Ｐゴシック"/>
      <charset val="128"/>
    </font>
    <font>
      <sz val="10"/>
      <color indexed="9"/>
      <name val="Tahoma"/>
      <charset val="134"/>
    </font>
    <font>
      <b/>
      <sz val="10"/>
      <color indexed="12"/>
      <name val="Tahoma"/>
      <charset val="134"/>
    </font>
    <font>
      <sz val="10"/>
      <color indexed="8"/>
      <name val="Tahoma"/>
      <charset val="134"/>
    </font>
    <font>
      <sz val="8"/>
      <color indexed="8"/>
      <name val="Tahoma"/>
      <charset val="134"/>
    </font>
    <font>
      <b/>
      <sz val="12"/>
      <color indexed="9"/>
      <name val="Tahoma"/>
      <charset val="134"/>
    </font>
    <font>
      <b/>
      <sz val="10"/>
      <color indexed="8"/>
      <name val="Tahoma"/>
      <charset val="134"/>
    </font>
    <font>
      <sz val="10"/>
      <color indexed="10"/>
      <name val="Tahoma"/>
      <charset val="134"/>
    </font>
    <font>
      <sz val="10"/>
      <color rgb="FF000000"/>
      <name val="Tahoma"/>
      <charset val="134"/>
    </font>
    <font>
      <sz val="12"/>
      <color indexed="8"/>
      <name val="Tahoma"/>
      <charset val="134"/>
    </font>
    <font>
      <sz val="12"/>
      <name val="ＭＳ Ｐゴシック"/>
      <charset val="128"/>
    </font>
    <font>
      <sz val="11"/>
      <name val="Tahoma"/>
      <charset val="134"/>
    </font>
    <font>
      <sz val="11"/>
      <color theme="1"/>
      <name val="Calibri"/>
      <charset val="134"/>
      <scheme val="minor"/>
    </font>
    <font>
      <sz val="9"/>
      <name val="ＭＳ ゴシック"/>
      <charset val="128"/>
    </font>
    <font>
      <b/>
      <sz val="10"/>
      <name val="MS Gothic"/>
      <charset val="134"/>
    </font>
    <font>
      <b/>
      <sz val="10"/>
      <name val="ＭＳ Ｐゴシック"/>
      <charset val="128"/>
    </font>
    <font>
      <b/>
      <sz val="10"/>
      <color rgb="FF000000"/>
      <name val="Tahoma"/>
      <charset val="134"/>
    </font>
    <font>
      <sz val="11"/>
      <name val="ＭＳ Ｐゴシック"/>
      <charset val="128"/>
    </font>
    <font>
      <sz val="11"/>
      <color rgb="FFFF0000"/>
      <name val="ＭＳ Ｐゴシック"/>
    </font>
    <font>
      <b/>
      <sz val="19"/>
      <color indexed="9"/>
      <name val="Times New Roman"/>
      <family val="1"/>
    </font>
    <font>
      <sz val="19"/>
      <name val="Times New Roman"/>
      <family val="1"/>
    </font>
    <font>
      <sz val="21"/>
      <name val="Times New Roman"/>
      <family val="1"/>
    </font>
    <font>
      <b/>
      <sz val="19"/>
      <color indexed="60"/>
      <name val="Tahoma"/>
      <family val="2"/>
    </font>
    <font>
      <sz val="19"/>
      <name val="Tahoma"/>
      <family val="2"/>
    </font>
    <font>
      <b/>
      <sz val="19"/>
      <name val="Tahoma"/>
      <family val="2"/>
    </font>
    <font>
      <sz val="19"/>
      <name val="Arial"/>
      <family val="2"/>
    </font>
    <font>
      <sz val="19"/>
      <color theme="1"/>
      <name val="Calibri"/>
      <family val="2"/>
      <scheme val="minor"/>
    </font>
    <font>
      <b/>
      <sz val="19"/>
      <color indexed="60"/>
      <name val="Times New Roman"/>
      <family val="1"/>
    </font>
    <font>
      <sz val="8"/>
      <name val="ＭＳ Ｐゴシック"/>
      <charset val="128"/>
    </font>
    <font>
      <b/>
      <sz val="10"/>
      <color indexed="9"/>
      <name val="Tahoma"/>
      <family val="2"/>
    </font>
    <font>
      <b/>
      <sz val="12"/>
      <color indexed="9"/>
      <name val="Tahoma"/>
      <family val="2"/>
    </font>
    <font>
      <b/>
      <sz val="10"/>
      <color indexed="8"/>
      <name val="Tahoma"/>
      <family val="2"/>
    </font>
    <font>
      <sz val="10"/>
      <color indexed="8"/>
      <name val="Tahoma"/>
      <family val="2"/>
    </font>
    <font>
      <sz val="10"/>
      <color indexed="10"/>
      <name val="Tahoma"/>
      <family val="2"/>
    </font>
    <font>
      <sz val="10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0" fillId="0" borderId="0"/>
    <xf numFmtId="0" fontId="17" fillId="0" borderId="0"/>
    <xf numFmtId="0" fontId="22" fillId="0" borderId="0"/>
    <xf numFmtId="0" fontId="22" fillId="0" borderId="0" applyProtection="0"/>
    <xf numFmtId="0" fontId="18" fillId="0" borderId="0"/>
  </cellStyleXfs>
  <cellXfs count="208">
    <xf numFmtId="0" fontId="0" fillId="0" borderId="0" xfId="0"/>
    <xf numFmtId="0" fontId="0" fillId="0" borderId="0" xfId="0" applyAlignment="1">
      <alignment wrapText="1"/>
    </xf>
    <xf numFmtId="0" fontId="1" fillId="0" borderId="0" xfId="2" applyFont="1"/>
    <xf numFmtId="0" fontId="2" fillId="0" borderId="0" xfId="2" applyFont="1"/>
    <xf numFmtId="0" fontId="3" fillId="0" borderId="0" xfId="2" applyFont="1"/>
    <xf numFmtId="164" fontId="3" fillId="0" borderId="0" xfId="2" applyNumberFormat="1" applyFont="1"/>
    <xf numFmtId="0" fontId="3" fillId="0" borderId="0" xfId="0" applyFont="1"/>
    <xf numFmtId="164" fontId="3" fillId="0" borderId="1" xfId="0" applyNumberFormat="1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 wrapText="1"/>
    </xf>
    <xf numFmtId="0" fontId="4" fillId="2" borderId="4" xfId="0" applyFont="1" applyFill="1" applyBorder="1" applyAlignment="1">
      <alignment horizontal="center" wrapText="1"/>
    </xf>
    <xf numFmtId="0" fontId="3" fillId="0" borderId="0" xfId="0" applyFont="1" applyAlignment="1">
      <alignment wrapText="1"/>
    </xf>
    <xf numFmtId="0" fontId="3" fillId="0" borderId="1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1" fontId="3" fillId="0" borderId="6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0" fontId="3" fillId="0" borderId="5" xfId="0" applyFont="1" applyBorder="1"/>
    <xf numFmtId="0" fontId="5" fillId="0" borderId="5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0" fontId="4" fillId="2" borderId="8" xfId="0" applyFont="1" applyFill="1" applyBorder="1"/>
    <xf numFmtId="0" fontId="6" fillId="2" borderId="8" xfId="0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0" fontId="3" fillId="0" borderId="0" xfId="0" applyNumberFormat="1" applyFont="1" applyAlignment="1">
      <alignment horizontal="center"/>
    </xf>
    <xf numFmtId="9" fontId="3" fillId="0" borderId="0" xfId="0" applyNumberFormat="1" applyFont="1" applyAlignment="1">
      <alignment horizontal="center"/>
    </xf>
    <xf numFmtId="2" fontId="7" fillId="0" borderId="0" xfId="0" applyNumberFormat="1" applyFont="1" applyAlignment="1">
      <alignment horizontal="right" wrapText="1"/>
    </xf>
    <xf numFmtId="0" fontId="8" fillId="0" borderId="0" xfId="0" applyFont="1" applyAlignment="1">
      <alignment horizontal="center" wrapText="1"/>
    </xf>
    <xf numFmtId="0" fontId="2" fillId="3" borderId="0" xfId="3" applyFont="1" applyFill="1"/>
    <xf numFmtId="0" fontId="9" fillId="3" borderId="0" xfId="0" applyFont="1" applyFill="1" applyAlignment="1">
      <alignment wrapText="1"/>
    </xf>
    <xf numFmtId="0" fontId="8" fillId="3" borderId="0" xfId="0" applyFont="1" applyFill="1" applyAlignment="1">
      <alignment wrapText="1"/>
    </xf>
    <xf numFmtId="0" fontId="9" fillId="3" borderId="0" xfId="0" applyFont="1" applyFill="1"/>
    <xf numFmtId="0" fontId="2" fillId="3" borderId="11" xfId="3" applyFont="1" applyFill="1" applyBorder="1" applyAlignment="1">
      <alignment horizontal="left" vertical="top" wrapText="1"/>
    </xf>
    <xf numFmtId="0" fontId="3" fillId="3" borderId="0" xfId="3" applyFont="1" applyFill="1" applyAlignment="1">
      <alignment horizontal="left" wrapText="1"/>
    </xf>
    <xf numFmtId="0" fontId="8" fillId="3" borderId="0" xfId="0" applyFont="1" applyFill="1" applyAlignment="1">
      <alignment horizontal="center" wrapText="1"/>
    </xf>
    <xf numFmtId="0" fontId="2" fillId="3" borderId="14" xfId="3" applyFont="1" applyFill="1" applyBorder="1" applyAlignment="1">
      <alignment horizontal="left" vertical="center" wrapText="1"/>
    </xf>
    <xf numFmtId="0" fontId="2" fillId="3" borderId="14" xfId="3" applyFont="1" applyFill="1" applyBorder="1" applyAlignment="1">
      <alignment horizontal="left" vertical="top" wrapText="1"/>
    </xf>
    <xf numFmtId="0" fontId="3" fillId="3" borderId="0" xfId="3" applyFont="1" applyFill="1" applyAlignment="1">
      <alignment horizontal="left" vertical="center" wrapText="1"/>
    </xf>
    <xf numFmtId="0" fontId="8" fillId="3" borderId="14" xfId="0" applyFont="1" applyFill="1" applyBorder="1" applyAlignment="1">
      <alignment horizontal="right"/>
    </xf>
    <xf numFmtId="0" fontId="8" fillId="3" borderId="18" xfId="0" applyFont="1" applyFill="1" applyBorder="1" applyAlignment="1">
      <alignment wrapText="1"/>
    </xf>
    <xf numFmtId="0" fontId="8" fillId="3" borderId="18" xfId="0" applyFont="1" applyFill="1" applyBorder="1" applyAlignment="1">
      <alignment horizontal="center" wrapText="1"/>
    </xf>
    <xf numFmtId="0" fontId="8" fillId="3" borderId="19" xfId="0" applyFont="1" applyFill="1" applyBorder="1" applyAlignment="1">
      <alignment horizontal="center" wrapText="1"/>
    </xf>
    <xf numFmtId="0" fontId="8" fillId="3" borderId="20" xfId="0" applyFont="1" applyFill="1" applyBorder="1" applyAlignment="1">
      <alignment horizontal="right"/>
    </xf>
    <xf numFmtId="0" fontId="8" fillId="3" borderId="21" xfId="0" applyFont="1" applyFill="1" applyBorder="1" applyAlignment="1">
      <alignment wrapText="1"/>
    </xf>
    <xf numFmtId="0" fontId="8" fillId="0" borderId="21" xfId="0" applyFont="1" applyBorder="1" applyAlignment="1">
      <alignment horizontal="center"/>
    </xf>
    <xf numFmtId="1" fontId="8" fillId="3" borderId="22" xfId="0" applyNumberFormat="1" applyFont="1" applyFill="1" applyBorder="1" applyAlignment="1">
      <alignment horizontal="center" wrapText="1"/>
    </xf>
    <xf numFmtId="1" fontId="8" fillId="3" borderId="0" xfId="0" applyNumberFormat="1" applyFont="1" applyFill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11" fillId="6" borderId="16" xfId="3" applyFont="1" applyFill="1" applyBorder="1" applyAlignment="1">
      <alignment horizontal="left" vertical="center" wrapText="1"/>
    </xf>
    <xf numFmtId="0" fontId="11" fillId="6" borderId="32" xfId="3" applyFont="1" applyFill="1" applyBorder="1" applyAlignment="1">
      <alignment horizontal="left" vertical="center" wrapText="1"/>
    </xf>
    <xf numFmtId="165" fontId="8" fillId="0" borderId="18" xfId="0" applyNumberFormat="1" applyFont="1" applyBorder="1" applyAlignment="1">
      <alignment horizontal="left" vertical="top" wrapText="1"/>
    </xf>
    <xf numFmtId="0" fontId="8" fillId="0" borderId="18" xfId="0" applyFont="1" applyBorder="1" applyAlignment="1">
      <alignment vertical="top" wrapText="1"/>
    </xf>
    <xf numFmtId="0" fontId="8" fillId="0" borderId="18" xfId="0" applyFont="1" applyBorder="1" applyAlignment="1">
      <alignment horizontal="left" vertical="top" wrapText="1"/>
    </xf>
    <xf numFmtId="0" fontId="8" fillId="0" borderId="16" xfId="0" applyFont="1" applyBorder="1" applyAlignment="1">
      <alignment horizontal="left" vertical="top" wrapText="1"/>
    </xf>
    <xf numFmtId="0" fontId="12" fillId="0" borderId="15" xfId="0" applyFont="1" applyBorder="1" applyAlignment="1">
      <alignment horizontal="left" vertical="top" wrapText="1"/>
    </xf>
    <xf numFmtId="0" fontId="8" fillId="0" borderId="15" xfId="0" applyFont="1" applyBorder="1" applyAlignment="1">
      <alignment horizontal="left" vertical="top" wrapText="1"/>
    </xf>
    <xf numFmtId="0" fontId="8" fillId="0" borderId="32" xfId="0" applyFont="1" applyBorder="1" applyAlignment="1">
      <alignment horizontal="left" vertical="top" wrapText="1"/>
    </xf>
    <xf numFmtId="0" fontId="8" fillId="0" borderId="29" xfId="0" applyFont="1" applyBorder="1" applyAlignment="1">
      <alignment horizontal="left" vertical="top" wrapText="1"/>
    </xf>
    <xf numFmtId="165" fontId="8" fillId="0" borderId="28" xfId="0" applyNumberFormat="1" applyFont="1" applyBorder="1" applyAlignment="1">
      <alignment horizontal="left" vertical="top" wrapText="1"/>
    </xf>
    <xf numFmtId="0" fontId="13" fillId="3" borderId="0" xfId="0" applyFont="1" applyFill="1" applyAlignment="1">
      <alignment wrapText="1"/>
    </xf>
    <xf numFmtId="0" fontId="13" fillId="3" borderId="10" xfId="0" applyFont="1" applyFill="1" applyBorder="1" applyAlignment="1">
      <alignment wrapText="1"/>
    </xf>
    <xf numFmtId="0" fontId="2" fillId="3" borderId="11" xfId="3" applyFont="1" applyFill="1" applyBorder="1" applyAlignment="1">
      <alignment horizontal="left" wrapText="1"/>
    </xf>
    <xf numFmtId="0" fontId="13" fillId="0" borderId="18" xfId="3" applyFont="1" applyBorder="1" applyAlignment="1">
      <alignment horizontal="left" vertical="top" wrapText="1"/>
    </xf>
    <xf numFmtId="0" fontId="11" fillId="0" borderId="18" xfId="3" applyFont="1" applyBorder="1" applyAlignment="1">
      <alignment horizontal="left" vertical="center" wrapText="1"/>
    </xf>
    <xf numFmtId="0" fontId="8" fillId="0" borderId="18" xfId="3" applyFont="1" applyBorder="1" applyAlignment="1">
      <alignment horizontal="left" vertical="center" wrapText="1"/>
    </xf>
    <xf numFmtId="0" fontId="9" fillId="0" borderId="0" xfId="0" applyFont="1"/>
    <xf numFmtId="0" fontId="8" fillId="0" borderId="0" xfId="0" applyFont="1"/>
    <xf numFmtId="0" fontId="8" fillId="0" borderId="0" xfId="0" applyFont="1" applyAlignment="1">
      <alignment vertical="center" wrapText="1"/>
    </xf>
    <xf numFmtId="0" fontId="14" fillId="0" borderId="0" xfId="0" applyFont="1"/>
    <xf numFmtId="0" fontId="15" fillId="0" borderId="0" xfId="0" applyFont="1"/>
    <xf numFmtId="0" fontId="9" fillId="0" borderId="0" xfId="0" applyFont="1" applyAlignment="1">
      <alignment vertical="top"/>
    </xf>
    <xf numFmtId="0" fontId="8" fillId="3" borderId="0" xfId="0" applyFont="1" applyFill="1"/>
    <xf numFmtId="0" fontId="8" fillId="3" borderId="0" xfId="0" applyFont="1" applyFill="1" applyAlignment="1">
      <alignment vertical="center" wrapText="1"/>
    </xf>
    <xf numFmtId="0" fontId="14" fillId="3" borderId="0" xfId="0" applyFont="1" applyFill="1"/>
    <xf numFmtId="0" fontId="8" fillId="0" borderId="29" xfId="0" applyFont="1" applyBorder="1" applyAlignment="1">
      <alignment horizontal="center" vertical="top" wrapText="1"/>
    </xf>
    <xf numFmtId="0" fontId="8" fillId="0" borderId="18" xfId="0" applyFont="1" applyBorder="1" applyAlignment="1">
      <alignment horizontal="center" vertical="top" wrapText="1"/>
    </xf>
    <xf numFmtId="0" fontId="16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6" fillId="0" borderId="0" xfId="0" applyFont="1"/>
    <xf numFmtId="165" fontId="8" fillId="8" borderId="28" xfId="0" applyNumberFormat="1" applyFont="1" applyFill="1" applyBorder="1" applyAlignment="1">
      <alignment horizontal="left" vertical="top" wrapText="1"/>
    </xf>
    <xf numFmtId="0" fontId="23" fillId="0" borderId="0" xfId="0" applyFont="1"/>
    <xf numFmtId="0" fontId="8" fillId="3" borderId="0" xfId="0" applyFont="1" applyFill="1" applyAlignment="1">
      <alignment horizontal="center" wrapText="1"/>
    </xf>
    <xf numFmtId="164" fontId="24" fillId="2" borderId="2" xfId="0" applyNumberFormat="1" applyFont="1" applyFill="1" applyBorder="1" applyAlignment="1">
      <alignment horizontal="center" vertical="center"/>
    </xf>
    <xf numFmtId="0" fontId="24" fillId="2" borderId="3" xfId="0" applyFont="1" applyFill="1" applyBorder="1" applyAlignment="1">
      <alignment horizontal="center" vertical="center"/>
    </xf>
    <xf numFmtId="0" fontId="24" fillId="2" borderId="3" xfId="0" applyFont="1" applyFill="1" applyBorder="1" applyAlignment="1">
      <alignment horizontal="center" vertical="center" wrapText="1"/>
    </xf>
    <xf numFmtId="0" fontId="24" fillId="2" borderId="37" xfId="0" applyFont="1" applyFill="1" applyBorder="1" applyAlignment="1">
      <alignment horizontal="center" vertical="center"/>
    </xf>
    <xf numFmtId="14" fontId="26" fillId="7" borderId="36" xfId="1" applyNumberFormat="1" applyFont="1" applyFill="1" applyBorder="1" applyAlignment="1">
      <alignment horizontal="center" vertical="center" wrapText="1"/>
    </xf>
    <xf numFmtId="0" fontId="26" fillId="7" borderId="36" xfId="1" applyFont="1" applyFill="1" applyBorder="1" applyAlignment="1">
      <alignment horizontal="center" vertical="center" wrapText="1"/>
    </xf>
    <xf numFmtId="0" fontId="26" fillId="7" borderId="36" xfId="0" applyFont="1" applyFill="1" applyBorder="1" applyAlignment="1">
      <alignment horizontal="center" vertical="center" wrapText="1"/>
    </xf>
    <xf numFmtId="0" fontId="26" fillId="7" borderId="38" xfId="1" applyFont="1" applyFill="1" applyBorder="1" applyAlignment="1">
      <alignment horizontal="center" vertical="center" wrapText="1"/>
    </xf>
    <xf numFmtId="0" fontId="26" fillId="7" borderId="38" xfId="0" applyFont="1" applyFill="1" applyBorder="1" applyAlignment="1">
      <alignment horizontal="center" vertical="center" wrapText="1"/>
    </xf>
    <xf numFmtId="0" fontId="26" fillId="0" borderId="18" xfId="0" applyFont="1" applyBorder="1" applyAlignment="1">
      <alignment horizontal="center" vertical="center" wrapText="1"/>
    </xf>
    <xf numFmtId="0" fontId="27" fillId="3" borderId="0" xfId="0" applyFont="1" applyFill="1"/>
    <xf numFmtId="0" fontId="28" fillId="0" borderId="0" xfId="0" applyFont="1"/>
    <xf numFmtId="0" fontId="28" fillId="3" borderId="0" xfId="0" applyFont="1" applyFill="1"/>
    <xf numFmtId="0" fontId="29" fillId="3" borderId="0" xfId="0" applyFont="1" applyFill="1"/>
    <xf numFmtId="0" fontId="30" fillId="0" borderId="0" xfId="1" applyFont="1"/>
    <xf numFmtId="0" fontId="31" fillId="0" borderId="0" xfId="1" applyFont="1"/>
    <xf numFmtId="0" fontId="30" fillId="0" borderId="36" xfId="1" applyFont="1" applyBorder="1"/>
    <xf numFmtId="0" fontId="32" fillId="0" borderId="0" xfId="0" applyFont="1"/>
    <xf numFmtId="0" fontId="25" fillId="0" borderId="0" xfId="0" applyFont="1"/>
    <xf numFmtId="0" fontId="28" fillId="0" borderId="0" xfId="0" applyFont="1" applyAlignment="1">
      <alignment vertical="center"/>
    </xf>
    <xf numFmtId="165" fontId="37" fillId="0" borderId="18" xfId="0" applyNumberFormat="1" applyFont="1" applyBorder="1" applyAlignment="1">
      <alignment horizontal="left" vertical="top" wrapText="1"/>
    </xf>
    <xf numFmtId="0" fontId="37" fillId="0" borderId="18" xfId="0" applyFont="1" applyBorder="1" applyAlignment="1">
      <alignment vertical="top" wrapText="1"/>
    </xf>
    <xf numFmtId="0" fontId="37" fillId="0" borderId="18" xfId="0" applyFont="1" applyBorder="1" applyAlignment="1">
      <alignment horizontal="left" vertical="top" wrapText="1"/>
    </xf>
    <xf numFmtId="0" fontId="37" fillId="0" borderId="35" xfId="0" applyFont="1" applyBorder="1" applyAlignment="1">
      <alignment horizontal="left" vertical="top" wrapText="1"/>
    </xf>
    <xf numFmtId="0" fontId="37" fillId="0" borderId="16" xfId="0" applyFont="1" applyBorder="1" applyAlignment="1">
      <alignment horizontal="left" vertical="top" wrapText="1"/>
    </xf>
    <xf numFmtId="0" fontId="38" fillId="0" borderId="15" xfId="0" applyFont="1" applyBorder="1" applyAlignment="1">
      <alignment horizontal="left" vertical="top" wrapText="1"/>
    </xf>
    <xf numFmtId="0" fontId="37" fillId="0" borderId="15" xfId="0" applyFont="1" applyBorder="1" applyAlignment="1">
      <alignment horizontal="left" vertical="top" wrapText="1"/>
    </xf>
    <xf numFmtId="0" fontId="37" fillId="0" borderId="32" xfId="0" applyFont="1" applyBorder="1" applyAlignment="1">
      <alignment horizontal="left" vertical="top" wrapText="1"/>
    </xf>
    <xf numFmtId="0" fontId="38" fillId="0" borderId="18" xfId="0" applyFont="1" applyBorder="1" applyAlignment="1">
      <alignment horizontal="left" vertical="top" wrapText="1"/>
    </xf>
    <xf numFmtId="0" fontId="36" fillId="6" borderId="24" xfId="3" applyFont="1" applyFill="1" applyBorder="1" applyAlignment="1">
      <alignment horizontal="left" vertical="center" wrapText="1"/>
    </xf>
    <xf numFmtId="0" fontId="36" fillId="6" borderId="16" xfId="3" applyFont="1" applyFill="1" applyBorder="1" applyAlignment="1">
      <alignment horizontal="left" vertical="center" wrapText="1"/>
    </xf>
    <xf numFmtId="0" fontId="36" fillId="6" borderId="32" xfId="3" applyFont="1" applyFill="1" applyBorder="1" applyAlignment="1">
      <alignment horizontal="left" vertical="center" wrapText="1"/>
    </xf>
    <xf numFmtId="0" fontId="37" fillId="7" borderId="29" xfId="0" applyFont="1" applyFill="1" applyBorder="1" applyAlignment="1">
      <alignment horizontal="left" vertical="top" wrapText="1"/>
    </xf>
    <xf numFmtId="0" fontId="37" fillId="0" borderId="29" xfId="0" applyFont="1" applyBorder="1" applyAlignment="1">
      <alignment horizontal="left" vertical="top" wrapText="1"/>
    </xf>
    <xf numFmtId="0" fontId="37" fillId="7" borderId="18" xfId="0" applyFont="1" applyFill="1" applyBorder="1" applyAlignment="1">
      <alignment horizontal="left" vertical="top" wrapText="1"/>
    </xf>
    <xf numFmtId="165" fontId="37" fillId="0" borderId="15" xfId="0" applyNumberFormat="1" applyFont="1" applyBorder="1" applyAlignment="1">
      <alignment horizontal="left" vertical="top" wrapText="1"/>
    </xf>
    <xf numFmtId="165" fontId="8" fillId="0" borderId="18" xfId="0" applyNumberFormat="1" applyFont="1" applyBorder="1" applyAlignment="1">
      <alignment vertical="top" wrapText="1"/>
    </xf>
    <xf numFmtId="0" fontId="8" fillId="0" borderId="32" xfId="0" applyFont="1" applyBorder="1" applyAlignment="1">
      <alignment vertical="top" wrapText="1"/>
    </xf>
    <xf numFmtId="0" fontId="8" fillId="0" borderId="16" xfId="0" applyFont="1" applyBorder="1" applyAlignment="1">
      <alignment vertical="top" wrapText="1"/>
    </xf>
    <xf numFmtId="0" fontId="12" fillId="0" borderId="15" xfId="0" applyFont="1" applyBorder="1" applyAlignment="1">
      <alignment vertical="top" wrapText="1"/>
    </xf>
    <xf numFmtId="0" fontId="11" fillId="6" borderId="16" xfId="3" applyFont="1" applyFill="1" applyBorder="1" applyAlignment="1">
      <alignment vertical="center" wrapText="1"/>
    </xf>
    <xf numFmtId="0" fontId="11" fillId="6" borderId="32" xfId="3" applyFont="1" applyFill="1" applyBorder="1" applyAlignment="1">
      <alignment vertical="center" wrapText="1"/>
    </xf>
    <xf numFmtId="0" fontId="8" fillId="0" borderId="29" xfId="0" applyFont="1" applyBorder="1" applyAlignment="1">
      <alignment vertical="top" wrapText="1"/>
    </xf>
    <xf numFmtId="0" fontId="37" fillId="0" borderId="29" xfId="0" applyFont="1" applyBorder="1" applyAlignment="1">
      <alignment vertical="top" wrapText="1"/>
    </xf>
    <xf numFmtId="0" fontId="8" fillId="0" borderId="15" xfId="0" applyFont="1" applyBorder="1" applyAlignment="1">
      <alignment vertical="top" wrapText="1"/>
    </xf>
    <xf numFmtId="165" fontId="37" fillId="0" borderId="18" xfId="0" applyNumberFormat="1" applyFont="1" applyBorder="1" applyAlignment="1">
      <alignment vertical="top" wrapText="1"/>
    </xf>
    <xf numFmtId="0" fontId="9" fillId="3" borderId="10" xfId="0" applyFont="1" applyFill="1" applyBorder="1" applyAlignment="1">
      <alignment wrapText="1"/>
    </xf>
    <xf numFmtId="0" fontId="37" fillId="3" borderId="0" xfId="0" applyFont="1" applyFill="1" applyAlignment="1">
      <alignment wrapText="1"/>
    </xf>
    <xf numFmtId="0" fontId="37" fillId="0" borderId="15" xfId="0" applyFont="1" applyBorder="1" applyAlignment="1">
      <alignment vertical="top" wrapText="1"/>
    </xf>
    <xf numFmtId="0" fontId="11" fillId="0" borderId="16" xfId="0" applyFont="1" applyBorder="1" applyAlignment="1">
      <alignment vertical="top" wrapText="1"/>
    </xf>
    <xf numFmtId="0" fontId="8" fillId="0" borderId="16" xfId="0" applyFont="1" applyBorder="1" applyAlignment="1">
      <alignment vertical="top" wrapText="1"/>
    </xf>
    <xf numFmtId="0" fontId="36" fillId="6" borderId="15" xfId="3" applyFont="1" applyFill="1" applyBorder="1" applyAlignment="1">
      <alignment vertical="center" wrapText="1"/>
    </xf>
    <xf numFmtId="0" fontId="11" fillId="6" borderId="16" xfId="3" applyFont="1" applyFill="1" applyBorder="1" applyAlignment="1">
      <alignment vertical="center" wrapText="1"/>
    </xf>
    <xf numFmtId="0" fontId="4" fillId="4" borderId="29" xfId="3" applyFont="1" applyFill="1" applyBorder="1" applyAlignment="1">
      <alignment horizontal="center" vertical="center" wrapText="1"/>
    </xf>
    <xf numFmtId="0" fontId="4" fillId="4" borderId="25" xfId="3" applyFont="1" applyFill="1" applyBorder="1" applyAlignment="1">
      <alignment horizontal="center" vertical="center" wrapText="1"/>
    </xf>
    <xf numFmtId="0" fontId="10" fillId="5" borderId="16" xfId="0" applyFont="1" applyFill="1" applyBorder="1" applyAlignment="1">
      <alignment horizontal="left" vertical="center"/>
    </xf>
    <xf numFmtId="0" fontId="10" fillId="5" borderId="32" xfId="0" applyFont="1" applyFill="1" applyBorder="1" applyAlignment="1">
      <alignment horizontal="left" vertical="center"/>
    </xf>
    <xf numFmtId="0" fontId="11" fillId="6" borderId="15" xfId="3" applyFont="1" applyFill="1" applyBorder="1" applyAlignment="1">
      <alignment horizontal="left" vertical="center" wrapText="1"/>
    </xf>
    <xf numFmtId="0" fontId="11" fillId="6" borderId="16" xfId="3" applyFont="1" applyFill="1" applyBorder="1" applyAlignment="1">
      <alignment horizontal="left" vertical="center" wrapText="1"/>
    </xf>
    <xf numFmtId="0" fontId="11" fillId="6" borderId="32" xfId="3" applyFont="1" applyFill="1" applyBorder="1" applyAlignment="1">
      <alignment horizontal="left" vertical="center" wrapText="1"/>
    </xf>
    <xf numFmtId="0" fontId="8" fillId="0" borderId="15" xfId="0" applyFont="1" applyBorder="1" applyAlignment="1">
      <alignment vertical="top" wrapText="1"/>
    </xf>
    <xf numFmtId="0" fontId="11" fillId="6" borderId="15" xfId="3" applyFont="1" applyFill="1" applyBorder="1" applyAlignment="1">
      <alignment vertical="center" wrapText="1"/>
    </xf>
    <xf numFmtId="0" fontId="8" fillId="3" borderId="0" xfId="0" applyFont="1" applyFill="1" applyAlignment="1">
      <alignment horizontal="center" wrapText="1"/>
    </xf>
    <xf numFmtId="0" fontId="8" fillId="3" borderId="23" xfId="0" applyFont="1" applyFill="1" applyBorder="1" applyAlignment="1">
      <alignment horizontal="center"/>
    </xf>
    <xf numFmtId="0" fontId="4" fillId="4" borderId="18" xfId="3" applyFont="1" applyFill="1" applyBorder="1" applyAlignment="1">
      <alignment horizontal="center" vertical="center" wrapText="1"/>
    </xf>
    <xf numFmtId="0" fontId="4" fillId="4" borderId="25" xfId="3" applyFont="1" applyFill="1" applyBorder="1" applyAlignment="1">
      <alignment vertical="center" wrapText="1"/>
    </xf>
    <xf numFmtId="0" fontId="4" fillId="4" borderId="18" xfId="3" applyFont="1" applyFill="1" applyBorder="1" applyAlignment="1">
      <alignment vertical="center" wrapText="1"/>
    </xf>
    <xf numFmtId="0" fontId="4" fillId="4" borderId="26" xfId="3" applyFont="1" applyFill="1" applyBorder="1" applyAlignment="1">
      <alignment horizontal="center" vertical="center" wrapText="1"/>
    </xf>
    <xf numFmtId="0" fontId="4" fillId="4" borderId="0" xfId="3" applyFont="1" applyFill="1" applyAlignment="1">
      <alignment horizontal="center" vertical="center" wrapText="1"/>
    </xf>
    <xf numFmtId="0" fontId="4" fillId="4" borderId="27" xfId="3" applyFont="1" applyFill="1" applyBorder="1" applyAlignment="1">
      <alignment horizontal="center" vertical="center" wrapText="1"/>
    </xf>
    <xf numFmtId="0" fontId="4" fillId="4" borderId="30" xfId="3" applyFont="1" applyFill="1" applyBorder="1" applyAlignment="1">
      <alignment horizontal="center" vertical="center" wrapText="1"/>
    </xf>
    <xf numFmtId="0" fontId="4" fillId="4" borderId="24" xfId="3" applyFont="1" applyFill="1" applyBorder="1" applyAlignment="1">
      <alignment horizontal="center" vertical="center" wrapText="1"/>
    </xf>
    <xf numFmtId="0" fontId="4" fillId="4" borderId="31" xfId="3" applyFont="1" applyFill="1" applyBorder="1" applyAlignment="1">
      <alignment horizontal="center" vertical="center" wrapText="1"/>
    </xf>
    <xf numFmtId="0" fontId="4" fillId="4" borderId="28" xfId="3" applyFont="1" applyFill="1" applyBorder="1" applyAlignment="1">
      <alignment horizontal="center" vertical="center" wrapText="1"/>
    </xf>
    <xf numFmtId="0" fontId="39" fillId="3" borderId="12" xfId="3" applyFont="1" applyFill="1" applyBorder="1" applyAlignment="1">
      <alignment horizontal="left" wrapText="1"/>
    </xf>
    <xf numFmtId="0" fontId="3" fillId="3" borderId="12" xfId="3" applyFont="1" applyFill="1" applyBorder="1" applyAlignment="1">
      <alignment horizontal="left" wrapText="1"/>
    </xf>
    <xf numFmtId="0" fontId="3" fillId="3" borderId="13" xfId="3" applyFont="1" applyFill="1" applyBorder="1" applyAlignment="1">
      <alignment horizontal="left" wrapText="1"/>
    </xf>
    <xf numFmtId="0" fontId="3" fillId="3" borderId="15" xfId="3" applyFont="1" applyFill="1" applyBorder="1" applyAlignment="1">
      <alignment horizontal="left" vertical="top" wrapText="1"/>
    </xf>
    <xf numFmtId="0" fontId="3" fillId="3" borderId="16" xfId="3" applyFont="1" applyFill="1" applyBorder="1" applyAlignment="1">
      <alignment horizontal="left" vertical="top" wrapText="1"/>
    </xf>
    <xf numFmtId="0" fontId="3" fillId="3" borderId="17" xfId="3" applyFont="1" applyFill="1" applyBorder="1" applyAlignment="1">
      <alignment horizontal="left" vertical="top" wrapText="1"/>
    </xf>
    <xf numFmtId="0" fontId="3" fillId="3" borderId="15" xfId="3" applyFont="1" applyFill="1" applyBorder="1" applyAlignment="1">
      <alignment horizontal="left" vertical="center" wrapText="1"/>
    </xf>
    <xf numFmtId="0" fontId="3" fillId="3" borderId="16" xfId="3" applyFont="1" applyFill="1" applyBorder="1" applyAlignment="1">
      <alignment horizontal="left" vertical="center" wrapText="1"/>
    </xf>
    <xf numFmtId="0" fontId="3" fillId="3" borderId="17" xfId="3" applyFont="1" applyFill="1" applyBorder="1" applyAlignment="1">
      <alignment horizontal="left" vertical="center" wrapText="1"/>
    </xf>
    <xf numFmtId="0" fontId="8" fillId="3" borderId="0" xfId="0" applyFont="1" applyFill="1" applyAlignment="1">
      <alignment horizontal="center" vertical="center" wrapText="1"/>
    </xf>
    <xf numFmtId="0" fontId="11" fillId="0" borderId="15" xfId="0" applyFont="1" applyBorder="1" applyAlignment="1">
      <alignment horizontal="left" vertical="top" wrapText="1"/>
    </xf>
    <xf numFmtId="0" fontId="11" fillId="0" borderId="16" xfId="0" applyFont="1" applyBorder="1" applyAlignment="1">
      <alignment horizontal="left" vertical="top" wrapText="1"/>
    </xf>
    <xf numFmtId="0" fontId="9" fillId="3" borderId="0" xfId="0" applyFont="1" applyFill="1" applyAlignment="1">
      <alignment horizontal="center" wrapText="1"/>
    </xf>
    <xf numFmtId="0" fontId="9" fillId="3" borderId="10" xfId="0" applyFont="1" applyFill="1" applyBorder="1" applyAlignment="1">
      <alignment horizontal="center" wrapText="1"/>
    </xf>
    <xf numFmtId="0" fontId="8" fillId="0" borderId="15" xfId="0" applyFont="1" applyBorder="1" applyAlignment="1">
      <alignment horizontal="left" vertical="top" wrapText="1"/>
    </xf>
    <xf numFmtId="0" fontId="8" fillId="0" borderId="16" xfId="0" applyFont="1" applyBorder="1" applyAlignment="1">
      <alignment horizontal="left" vertical="top" wrapText="1"/>
    </xf>
    <xf numFmtId="0" fontId="11" fillId="6" borderId="15" xfId="3" applyFont="1" applyFill="1" applyBorder="1" applyAlignment="1">
      <alignment horizontal="center" vertical="center" wrapText="1"/>
    </xf>
    <xf numFmtId="0" fontId="11" fillId="6" borderId="16" xfId="3" applyFont="1" applyFill="1" applyBorder="1" applyAlignment="1">
      <alignment horizontal="center" vertical="center" wrapText="1"/>
    </xf>
    <xf numFmtId="0" fontId="8" fillId="0" borderId="32" xfId="0" applyFont="1" applyBorder="1" applyAlignment="1">
      <alignment horizontal="left" vertical="top" wrapText="1"/>
    </xf>
    <xf numFmtId="0" fontId="13" fillId="0" borderId="15" xfId="0" applyFont="1" applyBorder="1" applyAlignment="1">
      <alignment horizontal="left" vertical="top" wrapText="1"/>
    </xf>
    <xf numFmtId="0" fontId="13" fillId="0" borderId="15" xfId="3" applyFont="1" applyBorder="1" applyAlignment="1">
      <alignment horizontal="left" vertical="top" wrapText="1"/>
    </xf>
    <xf numFmtId="0" fontId="11" fillId="0" borderId="16" xfId="3" applyFont="1" applyBorder="1" applyAlignment="1">
      <alignment horizontal="left" vertical="top" wrapText="1"/>
    </xf>
    <xf numFmtId="0" fontId="11" fillId="0" borderId="32" xfId="3" applyFont="1" applyBorder="1" applyAlignment="1">
      <alignment horizontal="left" vertical="top" wrapText="1"/>
    </xf>
    <xf numFmtId="0" fontId="13" fillId="0" borderId="16" xfId="0" applyFont="1" applyBorder="1" applyAlignment="1">
      <alignment horizontal="left" vertical="top" wrapText="1"/>
    </xf>
    <xf numFmtId="0" fontId="13" fillId="0" borderId="32" xfId="0" applyFont="1" applyBorder="1" applyAlignment="1">
      <alignment horizontal="left" vertical="top" wrapText="1"/>
    </xf>
    <xf numFmtId="0" fontId="37" fillId="0" borderId="18" xfId="0" applyFont="1" applyBorder="1" applyAlignment="1">
      <alignment horizontal="left" vertical="top" wrapText="1"/>
    </xf>
    <xf numFmtId="0" fontId="37" fillId="0" borderId="15" xfId="0" applyFont="1" applyBorder="1" applyAlignment="1">
      <alignment horizontal="left" vertical="top" wrapText="1"/>
    </xf>
    <xf numFmtId="0" fontId="36" fillId="6" borderId="15" xfId="3" applyFont="1" applyFill="1" applyBorder="1" applyAlignment="1">
      <alignment horizontal="left" vertical="center" wrapText="1"/>
    </xf>
    <xf numFmtId="0" fontId="36" fillId="6" borderId="16" xfId="3" applyFont="1" applyFill="1" applyBorder="1" applyAlignment="1">
      <alignment horizontal="left" vertical="center" wrapText="1"/>
    </xf>
    <xf numFmtId="0" fontId="37" fillId="0" borderId="16" xfId="0" applyFont="1" applyBorder="1" applyAlignment="1">
      <alignment horizontal="left" vertical="top" wrapText="1"/>
    </xf>
    <xf numFmtId="0" fontId="37" fillId="0" borderId="33" xfId="0" applyFont="1" applyBorder="1" applyAlignment="1">
      <alignment horizontal="left" vertical="top" wrapText="1"/>
    </xf>
    <xf numFmtId="0" fontId="37" fillId="0" borderId="34" xfId="0" applyFont="1" applyBorder="1" applyAlignment="1">
      <alignment horizontal="left" vertical="top" wrapText="1"/>
    </xf>
    <xf numFmtId="0" fontId="35" fillId="5" borderId="16" xfId="0" applyFont="1" applyFill="1" applyBorder="1" applyAlignment="1">
      <alignment horizontal="left" vertical="center"/>
    </xf>
    <xf numFmtId="0" fontId="35" fillId="5" borderId="32" xfId="0" applyFont="1" applyFill="1" applyBorder="1" applyAlignment="1">
      <alignment horizontal="left" vertical="center"/>
    </xf>
    <xf numFmtId="0" fontId="36" fillId="6" borderId="32" xfId="3" applyFont="1" applyFill="1" applyBorder="1" applyAlignment="1">
      <alignment horizontal="left" vertical="center" wrapText="1"/>
    </xf>
    <xf numFmtId="0" fontId="34" fillId="4" borderId="28" xfId="3" applyFont="1" applyFill="1" applyBorder="1" applyAlignment="1">
      <alignment horizontal="center" vertical="center" wrapText="1"/>
    </xf>
    <xf numFmtId="0" fontId="34" fillId="4" borderId="25" xfId="3" applyFont="1" applyFill="1" applyBorder="1" applyAlignment="1">
      <alignment horizontal="center" vertical="center" wrapText="1"/>
    </xf>
    <xf numFmtId="0" fontId="34" fillId="4" borderId="29" xfId="3" applyFont="1" applyFill="1" applyBorder="1" applyAlignment="1">
      <alignment horizontal="center" vertical="center" wrapText="1"/>
    </xf>
    <xf numFmtId="0" fontId="36" fillId="6" borderId="16" xfId="3" applyFont="1" applyFill="1" applyBorder="1" applyAlignment="1">
      <alignment horizontal="center" vertical="center" wrapText="1"/>
    </xf>
    <xf numFmtId="0" fontId="34" fillId="4" borderId="18" xfId="3" applyFont="1" applyFill="1" applyBorder="1" applyAlignment="1">
      <alignment horizontal="center" vertical="center" wrapText="1"/>
    </xf>
    <xf numFmtId="0" fontId="34" fillId="4" borderId="25" xfId="3" applyFont="1" applyFill="1" applyBorder="1" applyAlignment="1">
      <alignment vertical="center" wrapText="1"/>
    </xf>
    <xf numFmtId="0" fontId="34" fillId="4" borderId="18" xfId="3" applyFont="1" applyFill="1" applyBorder="1" applyAlignment="1">
      <alignment vertical="center" wrapText="1"/>
    </xf>
    <xf numFmtId="0" fontId="34" fillId="4" borderId="26" xfId="3" applyFont="1" applyFill="1" applyBorder="1" applyAlignment="1">
      <alignment horizontal="center" vertical="center" wrapText="1"/>
    </xf>
    <xf numFmtId="0" fontId="34" fillId="4" borderId="0" xfId="3" applyFont="1" applyFill="1" applyAlignment="1">
      <alignment horizontal="center" vertical="center" wrapText="1"/>
    </xf>
    <xf numFmtId="0" fontId="34" fillId="4" borderId="27" xfId="3" applyFont="1" applyFill="1" applyBorder="1" applyAlignment="1">
      <alignment horizontal="center" vertical="center" wrapText="1"/>
    </xf>
    <xf numFmtId="0" fontId="34" fillId="4" borderId="30" xfId="3" applyFont="1" applyFill="1" applyBorder="1" applyAlignment="1">
      <alignment horizontal="center" vertical="center" wrapText="1"/>
    </xf>
    <xf numFmtId="0" fontId="34" fillId="4" borderId="24" xfId="3" applyFont="1" applyFill="1" applyBorder="1" applyAlignment="1">
      <alignment horizontal="center" vertical="center" wrapText="1"/>
    </xf>
    <xf numFmtId="0" fontId="34" fillId="4" borderId="31" xfId="3" applyFont="1" applyFill="1" applyBorder="1" applyAlignment="1">
      <alignment horizontal="center" vertical="center" wrapText="1"/>
    </xf>
    <xf numFmtId="165" fontId="8" fillId="0" borderId="0" xfId="0" applyNumberFormat="1" applyFont="1" applyFill="1" applyAlignment="1">
      <alignment horizontal="left" vertical="top" wrapText="1"/>
    </xf>
    <xf numFmtId="0" fontId="0" fillId="0" borderId="0" xfId="0" applyFill="1"/>
  </cellXfs>
  <cellStyles count="5">
    <cellStyle name="Normal" xfId="0" builtinId="0"/>
    <cellStyle name="Normal 2" xfId="1"/>
    <cellStyle name="Normal_Functional Test Case v1.0" xfId="2"/>
    <cellStyle name="Normal_Sheet1_Vanco_CR022a1_TestCase_v0.1" xfId="3"/>
    <cellStyle name="標準_結合試験(AllOvertheWorld)" xfId="4"/>
  </cellStyles>
  <dxfs count="0"/>
  <tableStyles count="1" defaultTableStyle="TableStyleMedium9" defaultPivotStyle="PivotStyleLight16">
    <tableStyle name="Table Style 1" pivot="0" count="0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osdc-nt2\osdc\Documents%20and%20Settings\ThoanCT\My%20Documents\Copy%20of%20DataLoadSheet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Validation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1"/>
  <sheetViews>
    <sheetView showGridLines="0" zoomScale="40" zoomScaleNormal="58" workbookViewId="0">
      <selection activeCell="H20" sqref="H20"/>
    </sheetView>
  </sheetViews>
  <sheetFormatPr defaultColWidth="9" defaultRowHeight="14.25"/>
  <cols>
    <col min="1" max="1" width="9" style="80"/>
    <col min="2" max="2" width="29.75" style="80" customWidth="1"/>
    <col min="3" max="3" width="23.125" style="80" customWidth="1"/>
    <col min="4" max="4" width="66.75" style="80" customWidth="1"/>
    <col min="5" max="5" width="141.375" style="80" customWidth="1"/>
    <col min="6" max="7" width="31.125" style="80" customWidth="1"/>
    <col min="8" max="8" width="174.5" style="80" customWidth="1"/>
    <col min="9" max="16384" width="9" style="80"/>
  </cols>
  <sheetData>
    <row r="1" spans="1:9" s="95" customFormat="1" ht="23.25"/>
    <row r="2" spans="1:9" s="95" customFormat="1" ht="23.25">
      <c r="A2" s="96"/>
      <c r="B2" s="97" t="s">
        <v>0</v>
      </c>
      <c r="C2" s="96"/>
      <c r="D2" s="96"/>
      <c r="E2" s="96"/>
      <c r="F2" s="96"/>
      <c r="G2" s="96"/>
    </row>
    <row r="3" spans="1:9" s="95" customFormat="1" ht="24.75">
      <c r="A3" s="96"/>
      <c r="B3" s="94" t="s">
        <v>1</v>
      </c>
      <c r="C3" s="98">
        <v>1.2</v>
      </c>
      <c r="D3" s="99"/>
      <c r="E3" s="99"/>
      <c r="F3" s="99"/>
      <c r="G3" s="99"/>
      <c r="H3" s="99"/>
      <c r="I3" s="99"/>
    </row>
    <row r="4" spans="1:9" s="95" customFormat="1" ht="24.75">
      <c r="A4" s="96"/>
      <c r="B4" s="94" t="s">
        <v>2</v>
      </c>
      <c r="C4" s="98" t="s">
        <v>3</v>
      </c>
      <c r="D4" s="99"/>
      <c r="E4" s="99"/>
      <c r="F4" s="99"/>
      <c r="G4" s="99"/>
      <c r="H4" s="99"/>
      <c r="I4" s="99"/>
    </row>
    <row r="5" spans="1:9" s="95" customFormat="1" ht="24.75">
      <c r="A5" s="96"/>
      <c r="B5" s="94"/>
      <c r="C5" s="99"/>
      <c r="D5" s="99"/>
      <c r="E5" s="99"/>
      <c r="F5" s="99"/>
      <c r="G5" s="99"/>
      <c r="H5" s="99"/>
      <c r="I5" s="99"/>
    </row>
    <row r="6" spans="1:9" s="95" customFormat="1" ht="47.45" customHeight="1">
      <c r="A6" s="96"/>
      <c r="B6" s="94" t="s">
        <v>4</v>
      </c>
      <c r="C6" s="100" t="s">
        <v>5</v>
      </c>
      <c r="D6" s="99"/>
      <c r="E6" s="99"/>
      <c r="F6" s="99"/>
      <c r="G6" s="99"/>
      <c r="H6" s="99"/>
      <c r="I6" s="99"/>
    </row>
    <row r="7" spans="1:9" s="95" customFormat="1" ht="27" customHeight="1">
      <c r="A7" s="96"/>
      <c r="B7" s="94" t="s">
        <v>6</v>
      </c>
      <c r="C7" s="100" t="s">
        <v>7</v>
      </c>
      <c r="D7" s="99"/>
      <c r="E7" s="99"/>
      <c r="F7" s="99"/>
      <c r="G7" s="99"/>
      <c r="H7" s="99"/>
      <c r="I7" s="99"/>
    </row>
    <row r="8" spans="1:9" s="95" customFormat="1" ht="23.25">
      <c r="A8" s="96"/>
      <c r="B8" s="94"/>
      <c r="C8" s="96"/>
      <c r="D8" s="96"/>
      <c r="E8" s="96"/>
      <c r="F8" s="96"/>
      <c r="G8" s="96"/>
    </row>
    <row r="9" spans="1:9" s="95" customFormat="1" ht="23.25">
      <c r="A9" s="96"/>
      <c r="F9" s="96"/>
      <c r="G9" s="96"/>
    </row>
    <row r="10" spans="1:9" s="95" customFormat="1" ht="24">
      <c r="B10" s="101" t="s">
        <v>8</v>
      </c>
      <c r="C10" s="102"/>
      <c r="D10" s="102"/>
      <c r="E10" s="102"/>
      <c r="F10" s="102"/>
      <c r="G10" s="102"/>
      <c r="H10" s="102"/>
    </row>
    <row r="11" spans="1:9" s="103" customFormat="1" ht="63.6" customHeight="1">
      <c r="B11" s="84"/>
      <c r="C11" s="85" t="s">
        <v>9</v>
      </c>
      <c r="D11" s="85" t="s">
        <v>10</v>
      </c>
      <c r="E11" s="85" t="s">
        <v>11</v>
      </c>
      <c r="F11" s="85" t="s">
        <v>12</v>
      </c>
      <c r="G11" s="86" t="s">
        <v>13</v>
      </c>
      <c r="H11" s="87" t="s">
        <v>14</v>
      </c>
    </row>
    <row r="12" spans="1:9" s="78" customFormat="1" ht="49.9" customHeight="1">
      <c r="B12" s="88">
        <v>46268</v>
      </c>
      <c r="C12" s="89" t="s">
        <v>130</v>
      </c>
      <c r="D12" s="89" t="s">
        <v>128</v>
      </c>
      <c r="E12" s="89" t="s">
        <v>129</v>
      </c>
      <c r="F12" s="89" t="s">
        <v>121</v>
      </c>
      <c r="G12" s="89" t="s">
        <v>121</v>
      </c>
      <c r="H12" s="90" t="s">
        <v>132</v>
      </c>
    </row>
    <row r="13" spans="1:9" s="78" customFormat="1" ht="49.9" customHeight="1">
      <c r="B13" s="88">
        <v>46116</v>
      </c>
      <c r="C13" s="89">
        <v>1.1000000000000001</v>
      </c>
      <c r="D13" s="89" t="s">
        <v>126</v>
      </c>
      <c r="E13" s="89" t="s">
        <v>131</v>
      </c>
      <c r="F13" s="89" t="s">
        <v>123</v>
      </c>
      <c r="G13" s="89" t="s">
        <v>121</v>
      </c>
      <c r="H13" s="90" t="s">
        <v>133</v>
      </c>
    </row>
    <row r="14" spans="1:9" s="78" customFormat="1" ht="49.9" customHeight="1">
      <c r="B14" s="88">
        <v>46116</v>
      </c>
      <c r="C14" s="89">
        <v>1.1000000000000001</v>
      </c>
      <c r="D14" s="89" t="s">
        <v>127</v>
      </c>
      <c r="E14" s="89" t="s">
        <v>139</v>
      </c>
      <c r="F14" s="89" t="s">
        <v>122</v>
      </c>
      <c r="G14" s="89" t="s">
        <v>121</v>
      </c>
      <c r="H14" s="90" t="s">
        <v>134</v>
      </c>
    </row>
    <row r="15" spans="1:9" s="78" customFormat="1" ht="49.9" customHeight="1">
      <c r="B15" s="88">
        <v>46116</v>
      </c>
      <c r="C15" s="89">
        <v>1.1000000000000001</v>
      </c>
      <c r="D15" s="89" t="s">
        <v>136</v>
      </c>
      <c r="E15" s="89" t="s">
        <v>138</v>
      </c>
      <c r="F15" s="89" t="s">
        <v>121</v>
      </c>
      <c r="G15" s="89" t="s">
        <v>121</v>
      </c>
      <c r="H15" s="90" t="s">
        <v>135</v>
      </c>
    </row>
    <row r="16" spans="1:9" s="78" customFormat="1" ht="49.9" customHeight="1">
      <c r="B16" s="88">
        <v>46116</v>
      </c>
      <c r="C16" s="89">
        <v>1.1000000000000001</v>
      </c>
      <c r="D16" s="89" t="s">
        <v>137</v>
      </c>
      <c r="E16" s="89" t="s">
        <v>140</v>
      </c>
      <c r="F16" s="89" t="s">
        <v>121</v>
      </c>
      <c r="G16" s="89" t="s">
        <v>121</v>
      </c>
      <c r="H16" s="90" t="s">
        <v>141</v>
      </c>
    </row>
    <row r="17" spans="2:8" s="79" customFormat="1" ht="49.9" customHeight="1">
      <c r="B17" s="88">
        <v>46330</v>
      </c>
      <c r="C17" s="89">
        <v>1.2</v>
      </c>
      <c r="D17" s="89" t="s">
        <v>126</v>
      </c>
      <c r="E17" s="89" t="s">
        <v>142</v>
      </c>
      <c r="F17" s="89" t="s">
        <v>123</v>
      </c>
      <c r="G17" s="89" t="s">
        <v>121</v>
      </c>
      <c r="H17" s="90" t="s">
        <v>133</v>
      </c>
    </row>
    <row r="18" spans="2:8" s="79" customFormat="1" ht="49.9" customHeight="1">
      <c r="B18" s="88">
        <v>46330</v>
      </c>
      <c r="C18" s="89">
        <v>1.2</v>
      </c>
      <c r="D18" s="89" t="s">
        <v>127</v>
      </c>
      <c r="E18" s="89" t="s">
        <v>143</v>
      </c>
      <c r="F18" s="89" t="s">
        <v>122</v>
      </c>
      <c r="G18" s="89" t="s">
        <v>121</v>
      </c>
      <c r="H18" s="90" t="s">
        <v>134</v>
      </c>
    </row>
    <row r="19" spans="2:8" s="78" customFormat="1" ht="49.9" customHeight="1">
      <c r="B19" s="89" t="s">
        <v>144</v>
      </c>
      <c r="C19" s="89">
        <v>1.2</v>
      </c>
      <c r="D19" s="89" t="s">
        <v>145</v>
      </c>
      <c r="E19" s="89"/>
      <c r="F19" s="89" t="s">
        <v>121</v>
      </c>
      <c r="G19" s="89"/>
      <c r="H19" s="90" t="s">
        <v>146</v>
      </c>
    </row>
    <row r="20" spans="2:8" s="78" customFormat="1" ht="49.9" customHeight="1">
      <c r="B20" s="88">
        <v>46133</v>
      </c>
      <c r="C20" s="89"/>
      <c r="D20" s="89" t="s">
        <v>170</v>
      </c>
      <c r="E20" s="89" t="s">
        <v>171</v>
      </c>
      <c r="F20" s="89" t="s">
        <v>122</v>
      </c>
      <c r="G20" s="89"/>
      <c r="H20" s="90" t="s">
        <v>200</v>
      </c>
    </row>
    <row r="21" spans="2:8" s="78" customFormat="1" ht="49.9" customHeight="1">
      <c r="B21" s="89"/>
      <c r="C21" s="89"/>
      <c r="D21" s="89"/>
      <c r="E21" s="89"/>
      <c r="F21" s="89"/>
      <c r="G21" s="89"/>
      <c r="H21" s="90"/>
    </row>
    <row r="22" spans="2:8" s="78" customFormat="1" ht="49.9" customHeight="1">
      <c r="B22" s="89"/>
      <c r="C22" s="89"/>
      <c r="D22" s="89"/>
      <c r="E22" s="89"/>
      <c r="F22" s="89"/>
      <c r="G22" s="89"/>
      <c r="H22" s="90"/>
    </row>
    <row r="23" spans="2:8" s="78" customFormat="1" ht="49.9" customHeight="1">
      <c r="B23" s="89"/>
      <c r="C23" s="89"/>
      <c r="D23" s="89"/>
      <c r="E23" s="89"/>
      <c r="F23" s="89"/>
      <c r="G23" s="89"/>
      <c r="H23" s="90"/>
    </row>
    <row r="24" spans="2:8" s="78" customFormat="1" ht="49.9" customHeight="1">
      <c r="B24" s="89"/>
      <c r="C24" s="89"/>
      <c r="D24" s="89"/>
      <c r="E24" s="89"/>
      <c r="F24" s="89"/>
      <c r="G24" s="89"/>
      <c r="H24" s="90"/>
    </row>
    <row r="25" spans="2:8" s="78" customFormat="1" ht="49.9" customHeight="1">
      <c r="B25" s="89"/>
      <c r="C25" s="89"/>
      <c r="D25" s="89"/>
      <c r="E25" s="89"/>
      <c r="F25" s="89"/>
      <c r="G25" s="89"/>
      <c r="H25" s="90"/>
    </row>
    <row r="26" spans="2:8" s="78" customFormat="1" ht="49.9" customHeight="1">
      <c r="B26" s="89"/>
      <c r="C26" s="89"/>
      <c r="D26" s="89"/>
      <c r="E26" s="89"/>
      <c r="F26" s="89"/>
      <c r="G26" s="89"/>
      <c r="H26" s="90"/>
    </row>
    <row r="27" spans="2:8" ht="49.9" customHeight="1">
      <c r="B27" s="89"/>
      <c r="C27" s="89"/>
      <c r="D27" s="89"/>
      <c r="E27" s="89"/>
      <c r="F27" s="89"/>
      <c r="G27" s="89"/>
      <c r="H27" s="90"/>
    </row>
    <row r="28" spans="2:8" ht="49.9" customHeight="1">
      <c r="B28" s="89"/>
      <c r="C28" s="89"/>
      <c r="D28" s="89"/>
      <c r="E28" s="89"/>
      <c r="F28" s="89"/>
      <c r="G28" s="89"/>
      <c r="H28" s="90"/>
    </row>
    <row r="29" spans="2:8" ht="49.9" customHeight="1">
      <c r="B29" s="91"/>
      <c r="C29" s="91"/>
      <c r="D29" s="91"/>
      <c r="E29" s="91"/>
      <c r="F29" s="91"/>
      <c r="G29" s="91"/>
      <c r="H29" s="92"/>
    </row>
    <row r="30" spans="2:8" ht="44.45" customHeight="1">
      <c r="B30" s="93"/>
      <c r="C30" s="93"/>
      <c r="D30" s="93"/>
      <c r="E30" s="93"/>
      <c r="F30" s="93"/>
      <c r="G30" s="93"/>
      <c r="H30" s="93"/>
    </row>
    <row r="31" spans="2:8" ht="39" customHeight="1">
      <c r="B31" s="93"/>
      <c r="C31" s="93"/>
      <c r="D31" s="93"/>
      <c r="E31" s="93"/>
      <c r="F31" s="93"/>
      <c r="G31" s="93"/>
      <c r="H31" s="93"/>
    </row>
  </sheetData>
  <phoneticPr fontId="33" type="noConversion"/>
  <pageMargins left="0.37" right="0.47" top="0.5" bottom="0.38" header="0.5" footer="0.17"/>
  <pageSetup paperSize="9" orientation="landscape" horizontalDpi="96" verticalDpi="96"/>
  <headerFooter alignWithMargins="0">
    <oddFooter>&amp;L&amp;"Tahoma,Regular"&amp;8 02ae-BM/PM/HDCV/FSOFT v1/0&amp;R&amp;"Tahoma,Regular"&amp;10&amp;P/&amp;N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"/>
  <sheetViews>
    <sheetView tabSelected="1" topLeftCell="A8" workbookViewId="0">
      <selection activeCell="M16" sqref="M16"/>
    </sheetView>
  </sheetViews>
  <sheetFormatPr defaultRowHeight="13.5"/>
  <cols>
    <col min="1" max="1" width="15.625" customWidth="1"/>
    <col min="2" max="2" width="27.5" customWidth="1"/>
    <col min="3" max="3" width="33" customWidth="1"/>
    <col min="6" max="6" width="12.875" customWidth="1"/>
    <col min="7" max="7" width="0.875" customWidth="1"/>
    <col min="9" max="9" width="7.5" customWidth="1"/>
  </cols>
  <sheetData>
    <row r="1" spans="1:11" ht="14.25">
      <c r="A1" s="30" t="s">
        <v>0</v>
      </c>
      <c r="B1" s="131" t="s">
        <v>199</v>
      </c>
      <c r="C1" s="31"/>
      <c r="D1" s="31"/>
      <c r="E1" s="31"/>
      <c r="F1" s="31"/>
      <c r="G1" s="31"/>
      <c r="H1" s="31"/>
      <c r="I1" s="31"/>
      <c r="J1" s="32"/>
      <c r="K1" s="31"/>
    </row>
    <row r="2" spans="1:11" ht="15" thickBot="1">
      <c r="A2" s="33"/>
      <c r="B2" s="130"/>
      <c r="C2" s="130"/>
      <c r="D2" s="130"/>
      <c r="E2" s="31"/>
      <c r="F2" s="31"/>
      <c r="G2" s="31"/>
      <c r="H2" s="31"/>
      <c r="I2" s="31"/>
      <c r="J2" s="32"/>
      <c r="K2" s="31"/>
    </row>
    <row r="3" spans="1:11" ht="14.25" customHeight="1">
      <c r="A3" s="63" t="s">
        <v>15</v>
      </c>
      <c r="B3" s="158" t="s">
        <v>48</v>
      </c>
      <c r="C3" s="159"/>
      <c r="D3" s="160"/>
      <c r="E3" s="35"/>
      <c r="F3" s="35"/>
      <c r="G3" s="35"/>
      <c r="H3" s="35"/>
      <c r="I3" s="146"/>
      <c r="J3" s="146"/>
      <c r="K3" s="146"/>
    </row>
    <row r="4" spans="1:11" ht="13.5" customHeight="1">
      <c r="A4" s="37" t="s">
        <v>17</v>
      </c>
      <c r="B4" s="161" t="s">
        <v>201</v>
      </c>
      <c r="C4" s="162"/>
      <c r="D4" s="163"/>
      <c r="E4" s="35"/>
      <c r="F4" s="35"/>
      <c r="G4" s="35"/>
      <c r="H4" s="35"/>
      <c r="I4" s="146"/>
      <c r="J4" s="146"/>
      <c r="K4" s="146"/>
    </row>
    <row r="5" spans="1:11" ht="12.75" customHeight="1">
      <c r="A5" s="37" t="s">
        <v>19</v>
      </c>
      <c r="B5" s="164" t="s">
        <v>20</v>
      </c>
      <c r="C5" s="165"/>
      <c r="D5" s="166"/>
      <c r="E5" s="39"/>
      <c r="F5" s="39"/>
      <c r="G5" s="39"/>
      <c r="H5" s="39"/>
      <c r="I5" s="167"/>
      <c r="J5" s="167"/>
      <c r="K5" s="167"/>
    </row>
    <row r="6" spans="1:11" ht="14.25">
      <c r="A6" s="40" t="s">
        <v>21</v>
      </c>
      <c r="B6" s="41">
        <f>COUNTIF(J12:J21,"Pass")</f>
        <v>0</v>
      </c>
      <c r="C6" s="42" t="s">
        <v>22</v>
      </c>
      <c r="D6" s="43">
        <f>COUNTIF(J10:J740,"Pending")</f>
        <v>8</v>
      </c>
      <c r="E6" s="83"/>
      <c r="F6" s="83"/>
      <c r="G6" s="83"/>
      <c r="H6" s="83"/>
      <c r="I6" s="146"/>
      <c r="J6" s="146"/>
      <c r="K6" s="146"/>
    </row>
    <row r="7" spans="1:11" ht="15" thickBot="1">
      <c r="A7" s="44" t="s">
        <v>23</v>
      </c>
      <c r="B7" s="45">
        <f>COUNTIF(J12:J21,"Fail")</f>
        <v>0</v>
      </c>
      <c r="C7" s="46" t="s">
        <v>24</v>
      </c>
      <c r="D7" s="47">
        <f>COUNTA(A12:A22)-3</f>
        <v>8</v>
      </c>
      <c r="E7" s="48"/>
      <c r="F7" s="48"/>
      <c r="G7" s="48"/>
      <c r="H7" s="48"/>
      <c r="I7" s="146"/>
      <c r="J7" s="146"/>
      <c r="K7" s="146"/>
    </row>
    <row r="8" spans="1:11" ht="14.25">
      <c r="A8" s="147"/>
      <c r="B8" s="147"/>
      <c r="C8" s="147"/>
      <c r="D8" s="147"/>
      <c r="E8" s="83"/>
      <c r="F8" s="83"/>
      <c r="G8" s="83"/>
      <c r="H8" s="83"/>
      <c r="I8" s="83"/>
      <c r="J8" s="49"/>
      <c r="K8" s="49"/>
    </row>
    <row r="9" spans="1:11">
      <c r="A9" s="138" t="s">
        <v>25</v>
      </c>
      <c r="B9" s="149" t="s">
        <v>26</v>
      </c>
      <c r="C9" s="138" t="s">
        <v>27</v>
      </c>
      <c r="D9" s="151" t="s">
        <v>28</v>
      </c>
      <c r="E9" s="152"/>
      <c r="F9" s="152"/>
      <c r="G9" s="153"/>
      <c r="H9" s="157" t="s">
        <v>29</v>
      </c>
      <c r="I9" s="137" t="s">
        <v>30</v>
      </c>
      <c r="J9" s="137" t="s">
        <v>31</v>
      </c>
      <c r="K9" s="137" t="s">
        <v>32</v>
      </c>
    </row>
    <row r="10" spans="1:11">
      <c r="A10" s="148"/>
      <c r="B10" s="150"/>
      <c r="C10" s="148"/>
      <c r="D10" s="154"/>
      <c r="E10" s="155"/>
      <c r="F10" s="155"/>
      <c r="G10" s="156"/>
      <c r="H10" s="138"/>
      <c r="I10" s="138"/>
      <c r="J10" s="138"/>
      <c r="K10" s="138"/>
    </row>
    <row r="11" spans="1:11" ht="15">
      <c r="A11" s="139"/>
      <c r="B11" s="139"/>
      <c r="C11" s="139"/>
      <c r="D11" s="139"/>
      <c r="E11" s="139"/>
      <c r="F11" s="139"/>
      <c r="G11" s="139"/>
      <c r="H11" s="139"/>
      <c r="I11" s="139"/>
      <c r="J11" s="139"/>
      <c r="K11" s="140"/>
    </row>
    <row r="12" spans="1:11">
      <c r="A12" s="141" t="s">
        <v>172</v>
      </c>
      <c r="B12" s="142"/>
      <c r="C12" s="142"/>
      <c r="D12" s="142"/>
      <c r="E12" s="142"/>
      <c r="F12" s="142"/>
      <c r="G12" s="142"/>
      <c r="H12" s="142"/>
      <c r="I12" s="142"/>
      <c r="J12" s="142"/>
      <c r="K12" s="143"/>
    </row>
    <row r="13" spans="1:11" ht="52.5" customHeight="1">
      <c r="A13" s="120" t="s">
        <v>34</v>
      </c>
      <c r="B13" s="53" t="s">
        <v>173</v>
      </c>
      <c r="C13" s="53" t="s">
        <v>174</v>
      </c>
      <c r="D13" s="144" t="s">
        <v>175</v>
      </c>
      <c r="E13" s="134"/>
      <c r="F13" s="134"/>
      <c r="G13" s="121"/>
      <c r="H13" s="122"/>
      <c r="I13" s="123"/>
      <c r="J13" s="53" t="s">
        <v>22</v>
      </c>
      <c r="K13" s="53"/>
    </row>
    <row r="14" spans="1:11" ht="57" customHeight="1">
      <c r="A14" s="120" t="s">
        <v>39</v>
      </c>
      <c r="B14" s="53" t="s">
        <v>176</v>
      </c>
      <c r="C14" s="53" t="s">
        <v>174</v>
      </c>
      <c r="D14" s="144" t="s">
        <v>177</v>
      </c>
      <c r="E14" s="134"/>
      <c r="F14" s="134"/>
      <c r="G14" s="121"/>
      <c r="H14" s="122"/>
      <c r="I14" s="123"/>
      <c r="J14" s="53" t="s">
        <v>22</v>
      </c>
      <c r="K14" s="53"/>
    </row>
    <row r="15" spans="1:11">
      <c r="A15" s="145" t="s">
        <v>178</v>
      </c>
      <c r="B15" s="136"/>
      <c r="C15" s="136"/>
      <c r="D15" s="124"/>
      <c r="E15" s="124"/>
      <c r="F15" s="124"/>
      <c r="G15" s="124"/>
      <c r="H15" s="124"/>
      <c r="I15" s="124"/>
      <c r="J15" s="124"/>
      <c r="K15" s="125"/>
    </row>
    <row r="16" spans="1:11" ht="78" customHeight="1">
      <c r="A16" s="120" t="s">
        <v>44</v>
      </c>
      <c r="B16" s="126" t="s">
        <v>179</v>
      </c>
      <c r="C16" s="127" t="s">
        <v>180</v>
      </c>
      <c r="D16" s="132" t="s">
        <v>181</v>
      </c>
      <c r="E16" s="134"/>
      <c r="F16" s="134"/>
      <c r="G16" s="121"/>
      <c r="H16" s="122"/>
      <c r="I16" s="128"/>
      <c r="J16" s="53" t="s">
        <v>22</v>
      </c>
      <c r="K16" s="53"/>
    </row>
    <row r="17" spans="1:11" ht="40.5" customHeight="1">
      <c r="A17" s="120" t="s">
        <v>63</v>
      </c>
      <c r="B17" s="127" t="s">
        <v>182</v>
      </c>
      <c r="C17" s="127" t="s">
        <v>183</v>
      </c>
      <c r="D17" s="132" t="s">
        <v>184</v>
      </c>
      <c r="E17" s="134"/>
      <c r="F17" s="134"/>
      <c r="G17" s="121"/>
      <c r="H17" s="122"/>
      <c r="I17" s="128"/>
      <c r="J17" s="53" t="s">
        <v>22</v>
      </c>
      <c r="K17" s="53"/>
    </row>
    <row r="18" spans="1:11" ht="54.75" customHeight="1">
      <c r="A18" s="120" t="s">
        <v>68</v>
      </c>
      <c r="B18" s="127" t="s">
        <v>185</v>
      </c>
      <c r="C18" s="127" t="s">
        <v>186</v>
      </c>
      <c r="D18" s="132" t="s">
        <v>187</v>
      </c>
      <c r="E18" s="134"/>
      <c r="F18" s="134"/>
      <c r="G18" s="121"/>
      <c r="H18" s="122"/>
      <c r="I18" s="128"/>
      <c r="J18" s="53" t="s">
        <v>22</v>
      </c>
      <c r="K18" s="53"/>
    </row>
    <row r="19" spans="1:11" ht="105.75" customHeight="1">
      <c r="A19" s="120" t="s">
        <v>152</v>
      </c>
      <c r="B19" s="127" t="s">
        <v>188</v>
      </c>
      <c r="C19" s="127" t="s">
        <v>189</v>
      </c>
      <c r="D19" s="132" t="s">
        <v>190</v>
      </c>
      <c r="E19" s="134"/>
      <c r="F19" s="134"/>
      <c r="G19" s="121"/>
      <c r="H19" s="122"/>
      <c r="I19" s="128"/>
      <c r="J19" s="53" t="s">
        <v>22</v>
      </c>
      <c r="K19" s="53"/>
    </row>
    <row r="20" spans="1:11">
      <c r="A20" s="135" t="s">
        <v>191</v>
      </c>
      <c r="B20" s="136"/>
      <c r="C20" s="136"/>
      <c r="D20" s="124"/>
      <c r="E20" s="124"/>
      <c r="F20" s="124"/>
      <c r="G20" s="124"/>
      <c r="H20" s="124"/>
      <c r="I20" s="124"/>
      <c r="J20" s="124"/>
      <c r="K20" s="125"/>
    </row>
    <row r="21" spans="1:11" ht="65.25" customHeight="1">
      <c r="A21" s="129" t="s">
        <v>154</v>
      </c>
      <c r="B21" s="105" t="s">
        <v>192</v>
      </c>
      <c r="C21" s="105" t="s">
        <v>193</v>
      </c>
      <c r="D21" s="132" t="s">
        <v>194</v>
      </c>
      <c r="E21" s="133"/>
      <c r="F21" s="133"/>
      <c r="G21" s="121"/>
      <c r="H21" s="122"/>
      <c r="I21" s="128"/>
      <c r="J21" s="53" t="s">
        <v>22</v>
      </c>
      <c r="K21" s="53"/>
    </row>
    <row r="22" spans="1:11" ht="30" customHeight="1">
      <c r="A22" s="129" t="s">
        <v>155</v>
      </c>
      <c r="B22" s="105" t="s">
        <v>195</v>
      </c>
      <c r="C22" s="105" t="s">
        <v>196</v>
      </c>
      <c r="D22" s="132" t="s">
        <v>197</v>
      </c>
      <c r="E22" s="133"/>
      <c r="F22" s="133"/>
      <c r="G22" s="121"/>
      <c r="H22" s="122"/>
      <c r="I22" s="128"/>
      <c r="J22" s="53" t="s">
        <v>22</v>
      </c>
      <c r="K22" s="53"/>
    </row>
  </sheetData>
  <mergeCells count="29">
    <mergeCell ref="B3:D3"/>
    <mergeCell ref="I3:K3"/>
    <mergeCell ref="B4:D4"/>
    <mergeCell ref="I4:K4"/>
    <mergeCell ref="B5:D5"/>
    <mergeCell ref="I5:K5"/>
    <mergeCell ref="I6:K6"/>
    <mergeCell ref="I7:K7"/>
    <mergeCell ref="A8:D8"/>
    <mergeCell ref="A9:A10"/>
    <mergeCell ref="B9:B10"/>
    <mergeCell ref="C9:C10"/>
    <mergeCell ref="D9:G10"/>
    <mergeCell ref="H9:H10"/>
    <mergeCell ref="I9:I10"/>
    <mergeCell ref="J9:J10"/>
    <mergeCell ref="A20:C20"/>
    <mergeCell ref="D21:F21"/>
    <mergeCell ref="K9:K10"/>
    <mergeCell ref="A11:K11"/>
    <mergeCell ref="A12:K12"/>
    <mergeCell ref="D13:F13"/>
    <mergeCell ref="D14:F14"/>
    <mergeCell ref="A15:C15"/>
    <mergeCell ref="D22:F22"/>
    <mergeCell ref="D16:F16"/>
    <mergeCell ref="D17:F17"/>
    <mergeCell ref="D18:F18"/>
    <mergeCell ref="D19:F1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L55"/>
  <sheetViews>
    <sheetView zoomScale="72" workbookViewId="0">
      <selection activeCell="A19" sqref="A1:XFD1048576"/>
    </sheetView>
  </sheetViews>
  <sheetFormatPr defaultColWidth="8.75" defaultRowHeight="14.25" outlineLevelRow="1"/>
  <cols>
    <col min="1" max="1" width="15.625" customWidth="1"/>
    <col min="2" max="2" width="18.125" customWidth="1"/>
    <col min="3" max="3" width="42.125" customWidth="1"/>
    <col min="6" max="6" width="23.625" customWidth="1"/>
    <col min="7" max="7" width="18.5" hidden="1" customWidth="1"/>
    <col min="8" max="8" width="38" customWidth="1"/>
    <col min="9" max="9" width="17.125" customWidth="1"/>
    <col min="10" max="10" width="9" style="6"/>
    <col min="11" max="11" width="18" customWidth="1"/>
  </cols>
  <sheetData>
    <row r="1" spans="1:12" s="67" customFormat="1" ht="12.75" customHeight="1">
      <c r="A1" s="30" t="s">
        <v>0</v>
      </c>
      <c r="B1" s="170"/>
      <c r="C1" s="170"/>
      <c r="D1" s="170"/>
      <c r="E1" s="31"/>
      <c r="F1" s="31"/>
      <c r="G1" s="31"/>
      <c r="H1" s="31"/>
      <c r="I1" s="31"/>
      <c r="J1" s="32"/>
      <c r="K1" s="31"/>
      <c r="L1" s="33"/>
    </row>
    <row r="2" spans="1:12" s="67" customFormat="1" ht="11.25" customHeight="1">
      <c r="A2" s="33"/>
      <c r="B2" s="171"/>
      <c r="C2" s="171"/>
      <c r="D2" s="171"/>
      <c r="E2" s="31"/>
      <c r="F2" s="31"/>
      <c r="G2" s="31"/>
      <c r="H2" s="31"/>
      <c r="I2" s="31"/>
      <c r="J2" s="32"/>
      <c r="K2" s="31"/>
      <c r="L2" s="33"/>
    </row>
    <row r="3" spans="1:12" s="68" customFormat="1" ht="15" customHeight="1">
      <c r="A3" s="63" t="s">
        <v>15</v>
      </c>
      <c r="B3" s="159" t="s">
        <v>16</v>
      </c>
      <c r="C3" s="159"/>
      <c r="D3" s="160"/>
      <c r="E3" s="35"/>
      <c r="F3" s="35"/>
      <c r="G3" s="35"/>
      <c r="H3" s="35"/>
      <c r="I3" s="146"/>
      <c r="J3" s="146"/>
      <c r="K3" s="146"/>
      <c r="L3" s="73"/>
    </row>
    <row r="4" spans="1:12" s="68" customFormat="1" ht="12.75">
      <c r="A4" s="37" t="s">
        <v>17</v>
      </c>
      <c r="B4" s="161" t="s">
        <v>18</v>
      </c>
      <c r="C4" s="162"/>
      <c r="D4" s="163"/>
      <c r="E4" s="35"/>
      <c r="F4" s="35"/>
      <c r="G4" s="35"/>
      <c r="H4" s="35"/>
      <c r="I4" s="146"/>
      <c r="J4" s="146"/>
      <c r="K4" s="146"/>
      <c r="L4" s="73"/>
    </row>
    <row r="5" spans="1:12" s="69" customFormat="1" ht="25.5">
      <c r="A5" s="37" t="s">
        <v>19</v>
      </c>
      <c r="B5" s="164" t="s">
        <v>20</v>
      </c>
      <c r="C5" s="165"/>
      <c r="D5" s="166"/>
      <c r="E5" s="39"/>
      <c r="F5" s="39"/>
      <c r="G5" s="39"/>
      <c r="H5" s="39"/>
      <c r="I5" s="167"/>
      <c r="J5" s="167"/>
      <c r="K5" s="167"/>
      <c r="L5" s="74"/>
    </row>
    <row r="6" spans="1:12" s="68" customFormat="1" ht="15" customHeight="1">
      <c r="A6" s="40" t="s">
        <v>21</v>
      </c>
      <c r="B6" s="41">
        <f>COUNTIF(J12:J17,"Pass")</f>
        <v>3</v>
      </c>
      <c r="C6" s="42" t="s">
        <v>22</v>
      </c>
      <c r="D6" s="43">
        <f>COUNTIF(J10:J736,"Pending")</f>
        <v>0</v>
      </c>
      <c r="E6" s="36"/>
      <c r="F6" s="36"/>
      <c r="G6" s="36"/>
      <c r="H6" s="36"/>
      <c r="I6" s="146"/>
      <c r="J6" s="146"/>
      <c r="K6" s="146"/>
      <c r="L6" s="73"/>
    </row>
    <row r="7" spans="1:12" s="68" customFormat="1" ht="15" customHeight="1">
      <c r="A7" s="44" t="s">
        <v>23</v>
      </c>
      <c r="B7" s="45">
        <f>COUNTIF(J12:J17,"Fail")</f>
        <v>0</v>
      </c>
      <c r="C7" s="46" t="s">
        <v>24</v>
      </c>
      <c r="D7" s="47">
        <f>COUNTA(A12:A17)-15</f>
        <v>-9</v>
      </c>
      <c r="E7" s="48"/>
      <c r="F7" s="48"/>
      <c r="G7" s="48"/>
      <c r="H7" s="48"/>
      <c r="I7" s="146"/>
      <c r="J7" s="146"/>
      <c r="K7" s="146"/>
      <c r="L7" s="73"/>
    </row>
    <row r="8" spans="1:12" s="68" customFormat="1" ht="15" customHeight="1">
      <c r="A8" s="147"/>
      <c r="B8" s="147"/>
      <c r="C8" s="147"/>
      <c r="D8" s="147"/>
      <c r="E8" s="36"/>
      <c r="F8" s="36"/>
      <c r="G8" s="36"/>
      <c r="H8" s="36"/>
      <c r="I8" s="36"/>
      <c r="J8" s="49"/>
      <c r="K8" s="49"/>
      <c r="L8" s="73"/>
    </row>
    <row r="9" spans="1:12" s="70" customFormat="1" ht="12" customHeight="1">
      <c r="A9" s="138" t="s">
        <v>25</v>
      </c>
      <c r="B9" s="149" t="s">
        <v>26</v>
      </c>
      <c r="C9" s="138" t="s">
        <v>27</v>
      </c>
      <c r="D9" s="151" t="s">
        <v>28</v>
      </c>
      <c r="E9" s="152"/>
      <c r="F9" s="152"/>
      <c r="G9" s="153"/>
      <c r="H9" s="157" t="s">
        <v>29</v>
      </c>
      <c r="I9" s="137" t="s">
        <v>30</v>
      </c>
      <c r="J9" s="137" t="s">
        <v>31</v>
      </c>
      <c r="K9" s="137" t="s">
        <v>32</v>
      </c>
      <c r="L9" s="75"/>
    </row>
    <row r="10" spans="1:12" s="68" customFormat="1" ht="12" customHeight="1">
      <c r="A10" s="148"/>
      <c r="B10" s="150"/>
      <c r="C10" s="148"/>
      <c r="D10" s="154"/>
      <c r="E10" s="155"/>
      <c r="F10" s="155"/>
      <c r="G10" s="156"/>
      <c r="H10" s="138"/>
      <c r="I10" s="138"/>
      <c r="J10" s="138"/>
      <c r="K10" s="138"/>
      <c r="L10" s="73"/>
    </row>
    <row r="11" spans="1:12" s="71" customFormat="1" ht="15">
      <c r="A11" s="139"/>
      <c r="B11" s="139"/>
      <c r="C11" s="139"/>
      <c r="D11" s="139"/>
      <c r="E11" s="139"/>
      <c r="F11" s="139"/>
      <c r="G11" s="139"/>
      <c r="H11" s="139"/>
      <c r="I11" s="139"/>
      <c r="J11" s="139"/>
      <c r="K11" s="140"/>
    </row>
    <row r="12" spans="1:12" s="72" customFormat="1" ht="12.75">
      <c r="A12" s="141" t="s">
        <v>33</v>
      </c>
      <c r="B12" s="142"/>
      <c r="C12" s="142"/>
      <c r="D12" s="142"/>
      <c r="E12" s="142"/>
      <c r="F12" s="142"/>
      <c r="G12" s="142"/>
      <c r="H12" s="142"/>
      <c r="I12" s="142"/>
      <c r="J12" s="142"/>
      <c r="K12" s="143"/>
    </row>
    <row r="13" spans="1:12" s="72" customFormat="1" ht="76.5" outlineLevel="1">
      <c r="A13" s="52" t="s">
        <v>34</v>
      </c>
      <c r="B13" s="53" t="s">
        <v>35</v>
      </c>
      <c r="C13" s="54" t="s">
        <v>36</v>
      </c>
      <c r="D13" s="172" t="s">
        <v>37</v>
      </c>
      <c r="E13" s="173"/>
      <c r="F13" s="173"/>
      <c r="G13" s="58"/>
      <c r="H13" s="55"/>
      <c r="I13" s="56"/>
      <c r="J13" s="54" t="s">
        <v>21</v>
      </c>
      <c r="K13" s="54"/>
    </row>
    <row r="14" spans="1:12" s="72" customFormat="1" ht="12.75" outlineLevel="1">
      <c r="A14" s="174" t="s">
        <v>38</v>
      </c>
      <c r="B14" s="175"/>
      <c r="C14" s="175"/>
      <c r="D14" s="50"/>
      <c r="E14" s="50"/>
      <c r="F14" s="50"/>
      <c r="G14" s="50"/>
      <c r="H14" s="50"/>
      <c r="I14" s="50"/>
      <c r="J14" s="50"/>
      <c r="K14" s="51"/>
    </row>
    <row r="15" spans="1:12" s="72" customFormat="1" ht="63.75" customHeight="1" outlineLevel="1">
      <c r="A15" s="52" t="s">
        <v>39</v>
      </c>
      <c r="B15" s="76" t="s">
        <v>40</v>
      </c>
      <c r="C15" s="59" t="s">
        <v>41</v>
      </c>
      <c r="D15" s="168" t="s">
        <v>42</v>
      </c>
      <c r="E15" s="173"/>
      <c r="F15" s="173"/>
      <c r="G15" s="58"/>
      <c r="H15" s="55"/>
      <c r="I15" s="57"/>
      <c r="J15" s="54" t="s">
        <v>21</v>
      </c>
      <c r="K15" s="54"/>
    </row>
    <row r="16" spans="1:12" s="72" customFormat="1" ht="12.75" outlineLevel="1">
      <c r="A16" s="174" t="s">
        <v>43</v>
      </c>
      <c r="B16" s="175"/>
      <c r="C16" s="175"/>
      <c r="D16" s="50"/>
      <c r="E16" s="50"/>
      <c r="F16" s="50"/>
      <c r="G16" s="50"/>
      <c r="H16" s="50"/>
      <c r="I16" s="50"/>
      <c r="J16" s="50"/>
      <c r="K16" s="51"/>
    </row>
    <row r="17" spans="1:11" s="72" customFormat="1" ht="63.75" customHeight="1" outlineLevel="1">
      <c r="A17" s="52" t="s">
        <v>44</v>
      </c>
      <c r="B17" s="77" t="s">
        <v>40</v>
      </c>
      <c r="C17" s="54" t="s">
        <v>45</v>
      </c>
      <c r="D17" s="168" t="s">
        <v>46</v>
      </c>
      <c r="E17" s="169"/>
      <c r="F17" s="169"/>
      <c r="G17" s="58"/>
      <c r="H17" s="55"/>
      <c r="I17" s="57"/>
      <c r="J17" s="54" t="s">
        <v>21</v>
      </c>
      <c r="K17" s="54"/>
    </row>
    <row r="18" spans="1:11" ht="12" customHeight="1"/>
    <row r="19" spans="1:11" ht="12" customHeight="1"/>
    <row r="20" spans="1:11" ht="12" customHeight="1"/>
    <row r="21" spans="1:11" ht="12" customHeight="1"/>
    <row r="22" spans="1:11" ht="12" customHeight="1"/>
    <row r="23" spans="1:11" ht="12" customHeight="1"/>
    <row r="24" spans="1:11" ht="12" customHeight="1"/>
    <row r="25" spans="1:11" ht="12" customHeight="1"/>
    <row r="26" spans="1:11" ht="12" customHeight="1"/>
    <row r="27" spans="1:11" ht="12" customHeight="1"/>
    <row r="28" spans="1:11" ht="12" customHeight="1"/>
    <row r="29" spans="1:11" ht="12" customHeight="1"/>
    <row r="30" spans="1:11" ht="12" customHeight="1"/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</sheetData>
  <mergeCells count="25">
    <mergeCell ref="B1:D2"/>
    <mergeCell ref="D13:F13"/>
    <mergeCell ref="A14:C14"/>
    <mergeCell ref="D15:F15"/>
    <mergeCell ref="A16:C16"/>
    <mergeCell ref="B3:D3"/>
    <mergeCell ref="D17:F17"/>
    <mergeCell ref="I6:K6"/>
    <mergeCell ref="I7:K7"/>
    <mergeCell ref="A8:D8"/>
    <mergeCell ref="A11:K11"/>
    <mergeCell ref="A12:K12"/>
    <mergeCell ref="A9:A10"/>
    <mergeCell ref="B9:B10"/>
    <mergeCell ref="C9:C10"/>
    <mergeCell ref="H9:H10"/>
    <mergeCell ref="I9:I10"/>
    <mergeCell ref="J9:J10"/>
    <mergeCell ref="K9:K10"/>
    <mergeCell ref="D9:G10"/>
    <mergeCell ref="I3:K3"/>
    <mergeCell ref="B4:D4"/>
    <mergeCell ref="I4:K4"/>
    <mergeCell ref="B5:D5"/>
    <mergeCell ref="I5:K5"/>
  </mergeCells>
  <pageMargins left="0.75" right="0.75" top="1" bottom="1" header="0.5" footer="0.5"/>
  <pageSetup orientation="portrait" horizontalDpi="300" verticalDpi="30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5"/>
  <sheetViews>
    <sheetView topLeftCell="A4" workbookViewId="0">
      <selection activeCell="B5" sqref="B5:D5"/>
    </sheetView>
  </sheetViews>
  <sheetFormatPr defaultColWidth="8.75" defaultRowHeight="14.25" outlineLevelRow="1"/>
  <cols>
    <col min="1" max="1" width="15.625" customWidth="1"/>
    <col min="2" max="2" width="18.125" customWidth="1"/>
    <col min="3" max="3" width="42.125" customWidth="1"/>
    <col min="6" max="6" width="23.625" customWidth="1"/>
    <col min="7" max="7" width="18.5" hidden="1" customWidth="1"/>
    <col min="8" max="8" width="38" customWidth="1"/>
    <col min="9" max="9" width="17.125" customWidth="1"/>
    <col min="10" max="10" width="8.75" style="6"/>
    <col min="11" max="11" width="18" customWidth="1"/>
  </cols>
  <sheetData>
    <row r="1" spans="1:12" s="67" customFormat="1" ht="12.75" customHeight="1">
      <c r="A1" s="30" t="s">
        <v>0</v>
      </c>
      <c r="B1" s="170"/>
      <c r="C1" s="170"/>
      <c r="D1" s="170"/>
      <c r="E1" s="31"/>
      <c r="F1" s="31"/>
      <c r="G1" s="31"/>
      <c r="H1" s="31"/>
      <c r="I1" s="31"/>
      <c r="J1" s="32"/>
      <c r="K1" s="31"/>
      <c r="L1" s="33"/>
    </row>
    <row r="2" spans="1:12" s="67" customFormat="1" ht="11.25" customHeight="1" thickBot="1">
      <c r="A2" s="33"/>
      <c r="B2" s="171"/>
      <c r="C2" s="171"/>
      <c r="D2" s="171"/>
      <c r="E2" s="31"/>
      <c r="F2" s="31"/>
      <c r="G2" s="31"/>
      <c r="H2" s="31"/>
      <c r="I2" s="31"/>
      <c r="J2" s="32"/>
      <c r="K2" s="31"/>
      <c r="L2" s="33"/>
    </row>
    <row r="3" spans="1:12" s="68" customFormat="1" ht="15" customHeight="1">
      <c r="A3" s="63" t="s">
        <v>15</v>
      </c>
      <c r="B3" s="159" t="s">
        <v>48</v>
      </c>
      <c r="C3" s="159"/>
      <c r="D3" s="160"/>
      <c r="E3" s="35"/>
      <c r="F3" s="35"/>
      <c r="G3" s="35"/>
      <c r="H3" s="35"/>
      <c r="I3" s="146"/>
      <c r="J3" s="146"/>
      <c r="K3" s="146"/>
      <c r="L3" s="73"/>
    </row>
    <row r="4" spans="1:12" s="68" customFormat="1" ht="13.15" customHeight="1">
      <c r="A4" s="37" t="s">
        <v>17</v>
      </c>
      <c r="B4" s="161" t="s">
        <v>125</v>
      </c>
      <c r="C4" s="162"/>
      <c r="D4" s="163"/>
      <c r="E4" s="35"/>
      <c r="F4" s="35"/>
      <c r="G4" s="35"/>
      <c r="H4" s="35"/>
      <c r="I4" s="146"/>
      <c r="J4" s="146"/>
      <c r="K4" s="146"/>
      <c r="L4" s="73"/>
    </row>
    <row r="5" spans="1:12" s="69" customFormat="1" ht="12.75">
      <c r="A5" s="37" t="s">
        <v>19</v>
      </c>
      <c r="B5" s="164" t="s">
        <v>20</v>
      </c>
      <c r="C5" s="165"/>
      <c r="D5" s="166"/>
      <c r="E5" s="39"/>
      <c r="F5" s="39"/>
      <c r="G5" s="39"/>
      <c r="H5" s="39"/>
      <c r="I5" s="167"/>
      <c r="J5" s="167"/>
      <c r="K5" s="167"/>
      <c r="L5" s="74"/>
    </row>
    <row r="6" spans="1:12" s="68" customFormat="1" ht="15" customHeight="1">
      <c r="A6" s="40" t="s">
        <v>21</v>
      </c>
      <c r="B6" s="41">
        <v>0</v>
      </c>
      <c r="C6" s="42" t="s">
        <v>22</v>
      </c>
      <c r="D6" s="43">
        <v>5</v>
      </c>
      <c r="E6" s="36"/>
      <c r="F6" s="36"/>
      <c r="G6" s="36"/>
      <c r="H6" s="36"/>
      <c r="I6" s="146"/>
      <c r="J6" s="146"/>
      <c r="K6" s="146"/>
      <c r="L6" s="73"/>
    </row>
    <row r="7" spans="1:12" s="68" customFormat="1" ht="15" customHeight="1" thickBot="1">
      <c r="A7" s="44" t="s">
        <v>23</v>
      </c>
      <c r="B7" s="45">
        <v>0</v>
      </c>
      <c r="C7" s="46" t="s">
        <v>24</v>
      </c>
      <c r="D7" s="47">
        <v>10</v>
      </c>
      <c r="E7" s="48"/>
      <c r="F7" s="48"/>
      <c r="G7" s="48"/>
      <c r="H7" s="48"/>
      <c r="I7" s="146"/>
      <c r="J7" s="146"/>
      <c r="K7" s="146"/>
      <c r="L7" s="73"/>
    </row>
    <row r="8" spans="1:12" s="68" customFormat="1" ht="15" customHeight="1">
      <c r="A8" s="147"/>
      <c r="B8" s="147"/>
      <c r="C8" s="147"/>
      <c r="D8" s="147"/>
      <c r="E8" s="36"/>
      <c r="F8" s="36"/>
      <c r="G8" s="36"/>
      <c r="H8" s="36"/>
      <c r="I8" s="36"/>
      <c r="J8" s="49"/>
      <c r="K8" s="49"/>
      <c r="L8" s="73"/>
    </row>
    <row r="9" spans="1:12" s="70" customFormat="1" ht="12" customHeight="1">
      <c r="A9" s="138" t="s">
        <v>25</v>
      </c>
      <c r="B9" s="149" t="s">
        <v>26</v>
      </c>
      <c r="C9" s="138" t="s">
        <v>27</v>
      </c>
      <c r="D9" s="151" t="s">
        <v>28</v>
      </c>
      <c r="E9" s="152"/>
      <c r="F9" s="152"/>
      <c r="G9" s="153"/>
      <c r="H9" s="157" t="s">
        <v>29</v>
      </c>
      <c r="I9" s="137" t="s">
        <v>30</v>
      </c>
      <c r="J9" s="137" t="s">
        <v>31</v>
      </c>
      <c r="K9" s="137" t="s">
        <v>32</v>
      </c>
      <c r="L9" s="75"/>
    </row>
    <row r="10" spans="1:12" s="68" customFormat="1" ht="12" customHeight="1">
      <c r="A10" s="148"/>
      <c r="B10" s="150"/>
      <c r="C10" s="148"/>
      <c r="D10" s="154"/>
      <c r="E10" s="155"/>
      <c r="F10" s="155"/>
      <c r="G10" s="156"/>
      <c r="H10" s="138"/>
      <c r="I10" s="138"/>
      <c r="J10" s="138"/>
      <c r="K10" s="138"/>
      <c r="L10" s="73"/>
    </row>
    <row r="11" spans="1:12" s="71" customFormat="1" ht="15">
      <c r="A11" s="139"/>
      <c r="B11" s="139"/>
      <c r="C11" s="139"/>
      <c r="D11" s="139"/>
      <c r="E11" s="139"/>
      <c r="F11" s="139"/>
      <c r="G11" s="139"/>
      <c r="H11" s="139"/>
      <c r="I11" s="139"/>
      <c r="J11" s="139"/>
      <c r="K11" s="140"/>
    </row>
    <row r="12" spans="1:12" s="72" customFormat="1" ht="12.75">
      <c r="A12" s="141" t="s">
        <v>33</v>
      </c>
      <c r="B12" s="142"/>
      <c r="C12" s="142"/>
      <c r="D12" s="142"/>
      <c r="E12" s="142"/>
      <c r="F12" s="142"/>
      <c r="G12" s="142"/>
      <c r="H12" s="142"/>
      <c r="I12" s="142"/>
      <c r="J12" s="142"/>
      <c r="K12" s="143"/>
    </row>
    <row r="13" spans="1:12" s="72" customFormat="1" ht="76.5" outlineLevel="1">
      <c r="A13" s="52" t="s">
        <v>34</v>
      </c>
      <c r="B13" s="53" t="s">
        <v>35</v>
      </c>
      <c r="C13" s="54" t="s">
        <v>36</v>
      </c>
      <c r="D13" s="172" t="s">
        <v>37</v>
      </c>
      <c r="E13" s="173"/>
      <c r="F13" s="173"/>
      <c r="G13" s="58"/>
      <c r="H13" s="55"/>
      <c r="I13" s="56"/>
      <c r="J13" s="54" t="s">
        <v>21</v>
      </c>
      <c r="K13" s="54"/>
    </row>
    <row r="14" spans="1:12" s="72" customFormat="1" ht="12.75" outlineLevel="1">
      <c r="A14" s="174" t="s">
        <v>38</v>
      </c>
      <c r="B14" s="175"/>
      <c r="C14" s="175"/>
      <c r="D14" s="50"/>
      <c r="E14" s="50"/>
      <c r="F14" s="50"/>
      <c r="G14" s="50"/>
      <c r="H14" s="50"/>
      <c r="I14" s="50"/>
      <c r="J14" s="50"/>
      <c r="K14" s="51"/>
    </row>
    <row r="15" spans="1:12" s="72" customFormat="1" ht="63.75" customHeight="1" outlineLevel="1">
      <c r="A15" s="52" t="s">
        <v>39</v>
      </c>
      <c r="B15" s="76" t="s">
        <v>40</v>
      </c>
      <c r="C15" s="59" t="s">
        <v>41</v>
      </c>
      <c r="D15" s="168" t="s">
        <v>42</v>
      </c>
      <c r="E15" s="173"/>
      <c r="F15" s="173"/>
      <c r="G15" s="58"/>
      <c r="H15" s="55"/>
      <c r="I15" s="57"/>
      <c r="J15" s="54" t="s">
        <v>21</v>
      </c>
      <c r="K15" s="54"/>
    </row>
    <row r="16" spans="1:12" s="72" customFormat="1" ht="12.75" outlineLevel="1">
      <c r="A16" s="174" t="s">
        <v>43</v>
      </c>
      <c r="B16" s="175"/>
      <c r="C16" s="175"/>
      <c r="D16" s="50"/>
      <c r="E16" s="50"/>
      <c r="F16" s="50"/>
      <c r="G16" s="50"/>
      <c r="H16" s="50"/>
      <c r="I16" s="50"/>
      <c r="J16" s="50"/>
      <c r="K16" s="51"/>
    </row>
    <row r="17" spans="1:11" s="72" customFormat="1" ht="63.75" customHeight="1" outlineLevel="1">
      <c r="A17" s="52" t="s">
        <v>44</v>
      </c>
      <c r="B17" s="77" t="s">
        <v>40</v>
      </c>
      <c r="C17" s="54" t="s">
        <v>45</v>
      </c>
      <c r="D17" s="168" t="s">
        <v>46</v>
      </c>
      <c r="E17" s="169"/>
      <c r="F17" s="169"/>
      <c r="G17" s="58"/>
      <c r="H17" s="55"/>
      <c r="I17" s="57"/>
      <c r="J17" s="54" t="s">
        <v>21</v>
      </c>
      <c r="K17" s="54"/>
    </row>
    <row r="18" spans="1:11" ht="12" customHeight="1"/>
    <row r="19" spans="1:11" ht="12" customHeight="1"/>
    <row r="20" spans="1:11" ht="12" customHeight="1"/>
    <row r="21" spans="1:11" ht="12" customHeight="1"/>
    <row r="22" spans="1:11" ht="12" customHeight="1"/>
    <row r="23" spans="1:11" ht="12" customHeight="1"/>
    <row r="24" spans="1:11" ht="12" customHeight="1"/>
    <row r="25" spans="1:11" ht="12" customHeight="1"/>
    <row r="26" spans="1:11" ht="12" customHeight="1"/>
    <row r="27" spans="1:11" ht="12" customHeight="1"/>
    <row r="28" spans="1:11" ht="12" customHeight="1"/>
    <row r="29" spans="1:11" ht="12" customHeight="1"/>
    <row r="30" spans="1:11" ht="12" customHeight="1"/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</sheetData>
  <mergeCells count="25">
    <mergeCell ref="A16:C16"/>
    <mergeCell ref="D17:F17"/>
    <mergeCell ref="K9:K10"/>
    <mergeCell ref="A11:K11"/>
    <mergeCell ref="A12:K12"/>
    <mergeCell ref="D13:F13"/>
    <mergeCell ref="A14:C14"/>
    <mergeCell ref="D15:F15"/>
    <mergeCell ref="I6:K6"/>
    <mergeCell ref="I7:K7"/>
    <mergeCell ref="A8:D8"/>
    <mergeCell ref="A9:A10"/>
    <mergeCell ref="B9:B10"/>
    <mergeCell ref="C9:C10"/>
    <mergeCell ref="D9:G10"/>
    <mergeCell ref="H9:H10"/>
    <mergeCell ref="I9:I10"/>
    <mergeCell ref="J9:J10"/>
    <mergeCell ref="B5:D5"/>
    <mergeCell ref="I5:K5"/>
    <mergeCell ref="B1:D2"/>
    <mergeCell ref="B3:D3"/>
    <mergeCell ref="I3:K3"/>
    <mergeCell ref="B4:D4"/>
    <mergeCell ref="I4:K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6"/>
  <sheetViews>
    <sheetView topLeftCell="A2" zoomScale="69" workbookViewId="0">
      <selection activeCell="E39" sqref="E38:E39"/>
    </sheetView>
  </sheetViews>
  <sheetFormatPr defaultColWidth="8.875" defaultRowHeight="13.5"/>
  <cols>
    <col min="1" max="1" width="22.5" customWidth="1"/>
    <col min="2" max="2" width="18" customWidth="1"/>
    <col min="3" max="3" width="32.5" customWidth="1"/>
  </cols>
  <sheetData>
    <row r="1" spans="1:11" ht="14.25">
      <c r="A1" s="30" t="s">
        <v>0</v>
      </c>
      <c r="B1" s="61" t="s">
        <v>47</v>
      </c>
      <c r="C1" s="61"/>
      <c r="D1" s="61"/>
      <c r="E1" s="31"/>
      <c r="F1" s="31"/>
      <c r="G1" s="31"/>
      <c r="H1" s="31"/>
      <c r="I1" s="31"/>
      <c r="J1" s="32"/>
      <c r="K1" s="31"/>
    </row>
    <row r="2" spans="1:11" ht="14.25">
      <c r="A2" s="33"/>
      <c r="B2" s="62"/>
      <c r="C2" s="62"/>
      <c r="D2" s="62"/>
      <c r="E2" s="31"/>
      <c r="F2" s="31"/>
      <c r="G2" s="31"/>
      <c r="H2" s="31"/>
      <c r="I2" s="31"/>
      <c r="J2" s="32"/>
      <c r="K2" s="31"/>
    </row>
    <row r="3" spans="1:11" ht="14.25">
      <c r="A3" s="63" t="s">
        <v>15</v>
      </c>
      <c r="B3" s="159" t="s">
        <v>48</v>
      </c>
      <c r="C3" s="159"/>
      <c r="D3" s="160"/>
      <c r="E3" s="35"/>
      <c r="F3" s="35"/>
      <c r="G3" s="35"/>
      <c r="H3" s="35"/>
      <c r="I3" s="146"/>
      <c r="J3" s="146"/>
      <c r="K3" s="146"/>
    </row>
    <row r="4" spans="1:11" ht="14.25">
      <c r="A4" s="37" t="s">
        <v>17</v>
      </c>
      <c r="B4" s="161" t="s">
        <v>49</v>
      </c>
      <c r="C4" s="162"/>
      <c r="D4" s="163"/>
      <c r="E4" s="35"/>
      <c r="F4" s="35"/>
      <c r="G4" s="35"/>
      <c r="H4" s="35"/>
      <c r="I4" s="146"/>
      <c r="J4" s="146"/>
      <c r="K4" s="146"/>
    </row>
    <row r="5" spans="1:11">
      <c r="A5" s="37" t="s">
        <v>19</v>
      </c>
      <c r="B5" s="164" t="s">
        <v>20</v>
      </c>
      <c r="C5" s="165"/>
      <c r="D5" s="166"/>
      <c r="E5" s="39"/>
      <c r="F5" s="39"/>
      <c r="G5" s="39"/>
      <c r="H5" s="39"/>
      <c r="I5" s="167"/>
      <c r="J5" s="167"/>
      <c r="K5" s="167"/>
    </row>
    <row r="6" spans="1:11" ht="14.25">
      <c r="A6" s="40" t="s">
        <v>21</v>
      </c>
      <c r="B6" s="41">
        <v>0</v>
      </c>
      <c r="C6" s="42" t="s">
        <v>22</v>
      </c>
      <c r="D6" s="43">
        <v>5</v>
      </c>
      <c r="E6" s="36"/>
      <c r="F6" s="36"/>
      <c r="G6" s="36"/>
      <c r="H6" s="36"/>
      <c r="I6" s="146"/>
      <c r="J6" s="146"/>
      <c r="K6" s="146"/>
    </row>
    <row r="7" spans="1:11" ht="14.25">
      <c r="A7" s="44" t="s">
        <v>23</v>
      </c>
      <c r="B7" s="45">
        <v>0</v>
      </c>
      <c r="C7" s="46" t="s">
        <v>24</v>
      </c>
      <c r="D7" s="47">
        <v>10</v>
      </c>
      <c r="E7" s="48"/>
      <c r="F7" s="48"/>
      <c r="G7" s="48"/>
      <c r="H7" s="48"/>
      <c r="I7" s="146"/>
      <c r="J7" s="146"/>
      <c r="K7" s="146"/>
    </row>
    <row r="8" spans="1:11" ht="14.25">
      <c r="A8" s="147"/>
      <c r="B8" s="147"/>
      <c r="C8" s="147"/>
      <c r="D8" s="147"/>
      <c r="E8" s="36"/>
      <c r="F8" s="36"/>
      <c r="G8" s="36"/>
      <c r="H8" s="36"/>
      <c r="I8" s="36"/>
      <c r="J8" s="49"/>
      <c r="K8" s="49"/>
    </row>
    <row r="9" spans="1:11">
      <c r="A9" s="138" t="s">
        <v>25</v>
      </c>
      <c r="B9" s="149" t="s">
        <v>26</v>
      </c>
      <c r="C9" s="138" t="s">
        <v>27</v>
      </c>
      <c r="D9" s="151" t="s">
        <v>28</v>
      </c>
      <c r="E9" s="152"/>
      <c r="F9" s="152"/>
      <c r="G9" s="153"/>
      <c r="H9" s="157" t="s">
        <v>29</v>
      </c>
      <c r="I9" s="137" t="s">
        <v>30</v>
      </c>
      <c r="J9" s="137" t="s">
        <v>31</v>
      </c>
      <c r="K9" s="137" t="s">
        <v>32</v>
      </c>
    </row>
    <row r="10" spans="1:11">
      <c r="A10" s="148"/>
      <c r="B10" s="150"/>
      <c r="C10" s="148"/>
      <c r="D10" s="154"/>
      <c r="E10" s="155"/>
      <c r="F10" s="155"/>
      <c r="G10" s="156"/>
      <c r="H10" s="138"/>
      <c r="I10" s="138"/>
      <c r="J10" s="138"/>
      <c r="K10" s="138"/>
    </row>
    <row r="11" spans="1:11" ht="15">
      <c r="A11" s="139"/>
      <c r="B11" s="139"/>
      <c r="C11" s="139"/>
      <c r="D11" s="139"/>
      <c r="E11" s="139"/>
      <c r="F11" s="139"/>
      <c r="G11" s="139"/>
      <c r="H11" s="139"/>
      <c r="I11" s="139"/>
      <c r="J11" s="139"/>
      <c r="K11" s="140"/>
    </row>
    <row r="12" spans="1:11">
      <c r="A12" s="141" t="s">
        <v>50</v>
      </c>
      <c r="B12" s="142"/>
      <c r="C12" s="142"/>
      <c r="D12" s="142"/>
      <c r="E12" s="142"/>
      <c r="F12" s="142"/>
      <c r="G12" s="142"/>
      <c r="H12" s="142"/>
      <c r="I12" s="142"/>
      <c r="J12" s="142"/>
      <c r="K12" s="143"/>
    </row>
    <row r="13" spans="1:11" ht="63.75">
      <c r="A13" s="52" t="s">
        <v>34</v>
      </c>
      <c r="B13" s="54" t="s">
        <v>51</v>
      </c>
      <c r="C13" s="54" t="s">
        <v>52</v>
      </c>
      <c r="D13" s="177" t="s">
        <v>53</v>
      </c>
      <c r="E13" s="173"/>
      <c r="F13" s="173"/>
      <c r="G13" s="176"/>
      <c r="H13" s="55"/>
      <c r="I13" s="56"/>
      <c r="J13" s="54" t="s">
        <v>22</v>
      </c>
      <c r="K13" s="54"/>
    </row>
    <row r="14" spans="1:11">
      <c r="A14" s="141" t="s">
        <v>54</v>
      </c>
      <c r="B14" s="142"/>
      <c r="C14" s="142"/>
      <c r="D14" s="142"/>
      <c r="E14" s="142"/>
      <c r="F14" s="142"/>
      <c r="G14" s="142"/>
      <c r="H14" s="142"/>
      <c r="I14" s="142"/>
      <c r="J14" s="142"/>
      <c r="K14" s="143"/>
    </row>
    <row r="15" spans="1:11" ht="63.75">
      <c r="A15" s="64" t="s">
        <v>39</v>
      </c>
      <c r="B15" s="64" t="s">
        <v>55</v>
      </c>
      <c r="C15" s="64" t="s">
        <v>56</v>
      </c>
      <c r="D15" s="178" t="s">
        <v>57</v>
      </c>
      <c r="E15" s="179"/>
      <c r="F15" s="179"/>
      <c r="G15" s="180"/>
      <c r="H15" s="65"/>
      <c r="I15" s="65"/>
      <c r="J15" s="66" t="s">
        <v>22</v>
      </c>
      <c r="K15" s="65"/>
    </row>
    <row r="16" spans="1:11">
      <c r="A16" s="141" t="s">
        <v>58</v>
      </c>
      <c r="B16" s="142"/>
      <c r="C16" s="142"/>
      <c r="D16" s="50"/>
      <c r="E16" s="50"/>
      <c r="F16" s="50"/>
      <c r="G16" s="50"/>
      <c r="H16" s="50"/>
      <c r="I16" s="50"/>
      <c r="J16" s="50"/>
      <c r="K16" s="51"/>
    </row>
    <row r="17" spans="1:11">
      <c r="A17" s="52" t="s">
        <v>44</v>
      </c>
      <c r="B17" s="59" t="s">
        <v>59</v>
      </c>
      <c r="C17" s="59" t="s">
        <v>60</v>
      </c>
      <c r="D17" s="177" t="s">
        <v>61</v>
      </c>
      <c r="E17" s="181"/>
      <c r="F17" s="181"/>
      <c r="G17" s="182"/>
      <c r="H17" s="55"/>
      <c r="I17" s="57"/>
      <c r="J17" s="54" t="s">
        <v>22</v>
      </c>
      <c r="K17" s="54"/>
    </row>
    <row r="18" spans="1:11">
      <c r="A18" s="141" t="s">
        <v>62</v>
      </c>
      <c r="B18" s="142"/>
      <c r="C18" s="142"/>
      <c r="D18" s="50"/>
      <c r="E18" s="50"/>
      <c r="F18" s="50"/>
      <c r="G18" s="50"/>
      <c r="H18" s="50"/>
      <c r="I18" s="50"/>
      <c r="J18" s="50"/>
      <c r="K18" s="51"/>
    </row>
    <row r="19" spans="1:11" ht="38.25">
      <c r="A19" s="52" t="s">
        <v>63</v>
      </c>
      <c r="B19" s="54" t="s">
        <v>64</v>
      </c>
      <c r="C19" s="54" t="s">
        <v>65</v>
      </c>
      <c r="D19" s="172" t="s">
        <v>66</v>
      </c>
      <c r="E19" s="173"/>
      <c r="F19" s="173"/>
      <c r="G19" s="176"/>
      <c r="H19" s="55"/>
      <c r="I19" s="57"/>
      <c r="J19" s="54" t="s">
        <v>22</v>
      </c>
      <c r="K19" s="54"/>
    </row>
    <row r="20" spans="1:11">
      <c r="A20" s="141" t="s">
        <v>67</v>
      </c>
      <c r="B20" s="142"/>
      <c r="C20" s="142"/>
      <c r="D20" s="50"/>
      <c r="E20" s="50"/>
      <c r="F20" s="50"/>
      <c r="G20" s="50"/>
      <c r="H20" s="50"/>
      <c r="I20" s="50"/>
      <c r="J20" s="50"/>
      <c r="K20" s="51"/>
    </row>
    <row r="21" spans="1:11" ht="63.75">
      <c r="A21" s="52" t="s">
        <v>68</v>
      </c>
      <c r="B21" s="54" t="s">
        <v>69</v>
      </c>
      <c r="C21" s="54" t="s">
        <v>70</v>
      </c>
      <c r="D21" s="172" t="s">
        <v>71</v>
      </c>
      <c r="E21" s="173"/>
      <c r="F21" s="173"/>
      <c r="G21" s="176"/>
      <c r="H21" s="55"/>
      <c r="I21" s="57"/>
      <c r="J21" s="54" t="s">
        <v>22</v>
      </c>
      <c r="K21" s="54"/>
    </row>
    <row r="22" spans="1:11">
      <c r="A22" s="60" t="s">
        <v>105</v>
      </c>
    </row>
    <row r="23" spans="1:11">
      <c r="A23" s="60" t="s">
        <v>106</v>
      </c>
    </row>
    <row r="24" spans="1:11">
      <c r="A24" s="60" t="s">
        <v>107</v>
      </c>
    </row>
    <row r="25" spans="1:11">
      <c r="A25" s="60" t="s">
        <v>108</v>
      </c>
    </row>
    <row r="26" spans="1:11" ht="25.5">
      <c r="A26" s="60" t="s">
        <v>109</v>
      </c>
    </row>
    <row r="27" spans="1:11" ht="25.5">
      <c r="A27" s="60" t="s">
        <v>110</v>
      </c>
      <c r="C27" t="s">
        <v>124</v>
      </c>
    </row>
    <row r="28" spans="1:11">
      <c r="A28" s="60" t="s">
        <v>111</v>
      </c>
    </row>
    <row r="29" spans="1:11" ht="25.5">
      <c r="A29" s="60" t="s">
        <v>112</v>
      </c>
    </row>
    <row r="30" spans="1:11" ht="25.5">
      <c r="A30" s="60" t="s">
        <v>113</v>
      </c>
    </row>
    <row r="31" spans="1:11" ht="38.25">
      <c r="A31" s="60" t="s">
        <v>114</v>
      </c>
    </row>
    <row r="32" spans="1:11">
      <c r="A32" s="81" t="s">
        <v>115</v>
      </c>
    </row>
    <row r="33" spans="1:2" ht="63.75">
      <c r="A33" s="81" t="s">
        <v>116</v>
      </c>
      <c r="B33" t="s">
        <v>120</v>
      </c>
    </row>
    <row r="34" spans="1:2" ht="25.5">
      <c r="A34" s="81" t="s">
        <v>117</v>
      </c>
    </row>
    <row r="35" spans="1:2" ht="25.5">
      <c r="A35" s="81" t="s">
        <v>118</v>
      </c>
    </row>
    <row r="36" spans="1:2" ht="25.5">
      <c r="A36" s="81" t="s">
        <v>119</v>
      </c>
    </row>
  </sheetData>
  <mergeCells count="28">
    <mergeCell ref="A18:C18"/>
    <mergeCell ref="D19:G19"/>
    <mergeCell ref="A20:C20"/>
    <mergeCell ref="D21:G21"/>
    <mergeCell ref="A9:A10"/>
    <mergeCell ref="B9:B10"/>
    <mergeCell ref="C9:C10"/>
    <mergeCell ref="D9:G10"/>
    <mergeCell ref="D13:G13"/>
    <mergeCell ref="A14:K14"/>
    <mergeCell ref="D15:G15"/>
    <mergeCell ref="A16:C16"/>
    <mergeCell ref="D17:G17"/>
    <mergeCell ref="I6:K6"/>
    <mergeCell ref="I7:K7"/>
    <mergeCell ref="A8:D8"/>
    <mergeCell ref="A11:K11"/>
    <mergeCell ref="A12:K12"/>
    <mergeCell ref="H9:H10"/>
    <mergeCell ref="I9:I10"/>
    <mergeCell ref="J9:J10"/>
    <mergeCell ref="K9:K10"/>
    <mergeCell ref="B3:D3"/>
    <mergeCell ref="I3:K3"/>
    <mergeCell ref="B4:D4"/>
    <mergeCell ref="I4:K4"/>
    <mergeCell ref="B5:D5"/>
    <mergeCell ref="I5:K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0"/>
  <sheetViews>
    <sheetView zoomScale="70" zoomScaleNormal="70" workbookViewId="0">
      <selection activeCell="R14" sqref="R14"/>
    </sheetView>
  </sheetViews>
  <sheetFormatPr defaultColWidth="9" defaultRowHeight="13.5"/>
  <cols>
    <col min="1" max="1" width="18.25" customWidth="1"/>
    <col min="2" max="2" width="26.625" customWidth="1"/>
    <col min="3" max="3" width="35.5" customWidth="1"/>
    <col min="6" max="6" width="17.625" customWidth="1"/>
    <col min="7" max="7" width="0.875" customWidth="1"/>
  </cols>
  <sheetData>
    <row r="1" spans="1:11" ht="14.25">
      <c r="A1" s="30" t="s">
        <v>0</v>
      </c>
      <c r="B1" s="131" t="s">
        <v>198</v>
      </c>
      <c r="C1" s="31"/>
      <c r="D1" s="31"/>
      <c r="E1" s="31"/>
      <c r="F1" s="31"/>
      <c r="G1" s="31"/>
      <c r="H1" s="31"/>
      <c r="I1" s="31"/>
      <c r="J1" s="32"/>
      <c r="K1" s="31"/>
    </row>
    <row r="2" spans="1:11" ht="14.25">
      <c r="A2" s="33"/>
      <c r="B2" s="130"/>
      <c r="C2" s="130"/>
      <c r="D2" s="130"/>
      <c r="E2" s="31"/>
      <c r="F2" s="31"/>
      <c r="G2" s="31"/>
      <c r="H2" s="31"/>
      <c r="I2" s="31"/>
      <c r="J2" s="32"/>
      <c r="K2" s="31"/>
    </row>
    <row r="3" spans="1:11" ht="14.25">
      <c r="A3" s="34" t="s">
        <v>15</v>
      </c>
      <c r="B3" s="158" t="s">
        <v>48</v>
      </c>
      <c r="C3" s="159"/>
      <c r="D3" s="160"/>
      <c r="E3" s="35"/>
      <c r="F3" s="35"/>
      <c r="G3" s="35"/>
      <c r="H3" s="35"/>
      <c r="I3" s="146"/>
      <c r="J3" s="146"/>
      <c r="K3" s="146"/>
    </row>
    <row r="4" spans="1:11" ht="14.25">
      <c r="A4" s="37" t="s">
        <v>17</v>
      </c>
      <c r="B4" s="161" t="s">
        <v>72</v>
      </c>
      <c r="C4" s="162"/>
      <c r="D4" s="163"/>
      <c r="E4" s="35"/>
      <c r="F4" s="35"/>
      <c r="G4" s="35"/>
      <c r="H4" s="35"/>
      <c r="I4" s="146"/>
      <c r="J4" s="146"/>
      <c r="K4" s="146"/>
    </row>
    <row r="5" spans="1:11">
      <c r="A5" s="38" t="s">
        <v>19</v>
      </c>
      <c r="B5" s="164" t="s">
        <v>20</v>
      </c>
      <c r="C5" s="165"/>
      <c r="D5" s="166"/>
      <c r="E5" s="39"/>
      <c r="F5" s="39"/>
      <c r="G5" s="39"/>
      <c r="H5" s="39"/>
      <c r="I5" s="167"/>
      <c r="J5" s="167"/>
      <c r="K5" s="167"/>
    </row>
    <row r="6" spans="1:11" ht="14.25">
      <c r="A6" s="40" t="s">
        <v>21</v>
      </c>
      <c r="B6" s="41">
        <f>COUNTIF(J12:J23,"Pass")</f>
        <v>0</v>
      </c>
      <c r="C6" s="42" t="s">
        <v>22</v>
      </c>
      <c r="D6" s="43">
        <f>COUNTIF(J10:J741,"Pending")</f>
        <v>12</v>
      </c>
      <c r="E6" s="36"/>
      <c r="F6" s="36"/>
      <c r="G6" s="36"/>
      <c r="H6" s="36"/>
      <c r="I6" s="146"/>
      <c r="J6" s="146"/>
      <c r="K6" s="146"/>
    </row>
    <row r="7" spans="1:11" ht="14.25">
      <c r="A7" s="44" t="s">
        <v>23</v>
      </c>
      <c r="B7" s="45">
        <f>COUNTIF(J12:J23,"Fail")</f>
        <v>0</v>
      </c>
      <c r="C7" s="46" t="s">
        <v>24</v>
      </c>
      <c r="D7" s="47">
        <f>COUNTA(A12:A27)-4</f>
        <v>12</v>
      </c>
      <c r="E7" s="48"/>
      <c r="F7" s="48"/>
      <c r="G7" s="48"/>
      <c r="H7" s="48"/>
      <c r="I7" s="146"/>
      <c r="J7" s="146"/>
      <c r="K7" s="146"/>
    </row>
    <row r="8" spans="1:11" ht="14.25">
      <c r="A8" s="147"/>
      <c r="B8" s="147"/>
      <c r="C8" s="147"/>
      <c r="D8" s="147"/>
      <c r="E8" s="36"/>
      <c r="F8" s="36"/>
      <c r="G8" s="36"/>
      <c r="H8" s="36"/>
      <c r="I8" s="36"/>
      <c r="J8" s="49"/>
      <c r="K8" s="49"/>
    </row>
    <row r="9" spans="1:11" ht="13.5" customHeight="1">
      <c r="A9" s="194" t="s">
        <v>25</v>
      </c>
      <c r="B9" s="198" t="s">
        <v>26</v>
      </c>
      <c r="C9" s="194" t="s">
        <v>27</v>
      </c>
      <c r="D9" s="200" t="s">
        <v>28</v>
      </c>
      <c r="E9" s="201"/>
      <c r="F9" s="201"/>
      <c r="G9" s="202"/>
      <c r="H9" s="193" t="s">
        <v>29</v>
      </c>
      <c r="I9" s="195" t="s">
        <v>30</v>
      </c>
      <c r="J9" s="195" t="s">
        <v>31</v>
      </c>
      <c r="K9" s="195" t="s">
        <v>32</v>
      </c>
    </row>
    <row r="10" spans="1:11">
      <c r="A10" s="197"/>
      <c r="B10" s="199"/>
      <c r="C10" s="197"/>
      <c r="D10" s="203"/>
      <c r="E10" s="204"/>
      <c r="F10" s="204"/>
      <c r="G10" s="205"/>
      <c r="H10" s="194"/>
      <c r="I10" s="194"/>
      <c r="J10" s="194"/>
      <c r="K10" s="194"/>
    </row>
    <row r="11" spans="1:11" ht="15">
      <c r="A11" s="190"/>
      <c r="B11" s="190"/>
      <c r="C11" s="190"/>
      <c r="D11" s="190"/>
      <c r="E11" s="190"/>
      <c r="F11" s="190"/>
      <c r="G11" s="190"/>
      <c r="H11" s="190"/>
      <c r="I11" s="190"/>
      <c r="J11" s="190"/>
      <c r="K11" s="191"/>
    </row>
    <row r="12" spans="1:11" ht="16.5" customHeight="1">
      <c r="A12" s="185" t="s">
        <v>73</v>
      </c>
      <c r="B12" s="186"/>
      <c r="C12" s="186"/>
      <c r="D12" s="186"/>
      <c r="E12" s="186"/>
      <c r="F12" s="186"/>
      <c r="G12" s="186"/>
      <c r="H12" s="186"/>
      <c r="I12" s="186"/>
      <c r="J12" s="186"/>
      <c r="K12" s="192"/>
    </row>
    <row r="13" spans="1:11" ht="54" customHeight="1">
      <c r="A13" s="104" t="s">
        <v>34</v>
      </c>
      <c r="B13" s="105" t="s">
        <v>74</v>
      </c>
      <c r="C13" s="106" t="s">
        <v>75</v>
      </c>
      <c r="D13" s="188" t="s">
        <v>76</v>
      </c>
      <c r="E13" s="189"/>
      <c r="F13" s="189"/>
      <c r="G13" s="107"/>
      <c r="H13" s="108"/>
      <c r="I13" s="109"/>
      <c r="J13" s="106" t="s">
        <v>22</v>
      </c>
      <c r="K13" s="106"/>
    </row>
    <row r="14" spans="1:11" ht="54.75" customHeight="1">
      <c r="A14" s="104" t="s">
        <v>39</v>
      </c>
      <c r="B14" s="105" t="s">
        <v>147</v>
      </c>
      <c r="C14" s="106" t="s">
        <v>148</v>
      </c>
      <c r="D14" s="184" t="s">
        <v>149</v>
      </c>
      <c r="E14" s="187"/>
      <c r="F14" s="187"/>
      <c r="G14" s="107"/>
      <c r="H14" s="108"/>
      <c r="I14" s="109"/>
      <c r="J14" s="106" t="s">
        <v>22</v>
      </c>
      <c r="K14" s="106"/>
    </row>
    <row r="15" spans="1:11" ht="58.5" customHeight="1">
      <c r="A15" s="104" t="s">
        <v>44</v>
      </c>
      <c r="B15" s="105" t="s">
        <v>77</v>
      </c>
      <c r="C15" s="110" t="s">
        <v>78</v>
      </c>
      <c r="D15" s="184" t="s">
        <v>79</v>
      </c>
      <c r="E15" s="187"/>
      <c r="F15" s="187"/>
      <c r="G15" s="111"/>
      <c r="H15" s="111"/>
      <c r="I15" s="112"/>
      <c r="J15" s="106" t="s">
        <v>22</v>
      </c>
      <c r="K15" s="106"/>
    </row>
    <row r="16" spans="1:11" ht="18" customHeight="1">
      <c r="A16" s="185" t="s">
        <v>80</v>
      </c>
      <c r="B16" s="186"/>
      <c r="C16" s="186"/>
      <c r="D16" s="113"/>
      <c r="E16" s="113"/>
      <c r="F16" s="113"/>
      <c r="G16" s="113"/>
      <c r="H16" s="114"/>
      <c r="I16" s="114"/>
      <c r="J16" s="114"/>
      <c r="K16" s="115"/>
    </row>
    <row r="17" spans="1:11" ht="78" customHeight="1">
      <c r="A17" s="104" t="s">
        <v>63</v>
      </c>
      <c r="B17" s="116" t="s">
        <v>150</v>
      </c>
      <c r="C17" s="117" t="s">
        <v>82</v>
      </c>
      <c r="D17" s="188" t="s">
        <v>81</v>
      </c>
      <c r="E17" s="189"/>
      <c r="F17" s="189"/>
      <c r="G17" s="107"/>
      <c r="H17" s="108"/>
      <c r="I17" s="110"/>
      <c r="J17" s="106" t="s">
        <v>22</v>
      </c>
      <c r="K17" s="106"/>
    </row>
    <row r="18" spans="1:11" ht="79.5" customHeight="1">
      <c r="A18" s="104" t="s">
        <v>68</v>
      </c>
      <c r="B18" s="118" t="s">
        <v>151</v>
      </c>
      <c r="C18" s="110" t="s">
        <v>83</v>
      </c>
      <c r="D18" s="184" t="s">
        <v>84</v>
      </c>
      <c r="E18" s="187"/>
      <c r="F18" s="187"/>
      <c r="G18" s="111"/>
      <c r="H18" s="111"/>
      <c r="I18" s="106"/>
      <c r="J18" s="106" t="s">
        <v>22</v>
      </c>
      <c r="K18" s="106"/>
    </row>
    <row r="19" spans="1:11" ht="78.75" customHeight="1">
      <c r="A19" s="104" t="s">
        <v>152</v>
      </c>
      <c r="B19" s="118" t="s">
        <v>153</v>
      </c>
      <c r="C19" s="110" t="s">
        <v>85</v>
      </c>
      <c r="D19" s="184" t="s">
        <v>84</v>
      </c>
      <c r="E19" s="187"/>
      <c r="F19" s="187"/>
      <c r="G19" s="111"/>
      <c r="H19" s="111"/>
      <c r="I19" s="106"/>
      <c r="J19" s="106" t="s">
        <v>22</v>
      </c>
      <c r="K19" s="106"/>
    </row>
    <row r="20" spans="1:11" ht="19.5" customHeight="1">
      <c r="A20" s="185" t="s">
        <v>86</v>
      </c>
      <c r="B20" s="186"/>
      <c r="C20" s="186"/>
      <c r="D20" s="113"/>
      <c r="E20" s="113"/>
      <c r="F20" s="113"/>
      <c r="G20" s="113"/>
      <c r="H20" s="114"/>
      <c r="I20" s="114"/>
      <c r="J20" s="114"/>
      <c r="K20" s="115"/>
    </row>
    <row r="21" spans="1:11" ht="66" customHeight="1">
      <c r="A21" s="104" t="s">
        <v>154</v>
      </c>
      <c r="B21" s="117" t="s">
        <v>87</v>
      </c>
      <c r="C21" s="117" t="s">
        <v>88</v>
      </c>
      <c r="D21" s="184" t="s">
        <v>89</v>
      </c>
      <c r="E21" s="187"/>
      <c r="F21" s="187"/>
      <c r="G21" s="111"/>
      <c r="H21" s="108"/>
      <c r="I21" s="110"/>
      <c r="J21" s="106" t="s">
        <v>22</v>
      </c>
      <c r="K21" s="106"/>
    </row>
    <row r="22" spans="1:11" ht="66.75" customHeight="1">
      <c r="A22" s="104" t="s">
        <v>155</v>
      </c>
      <c r="B22" s="106" t="s">
        <v>90</v>
      </c>
      <c r="C22" s="106" t="s">
        <v>91</v>
      </c>
      <c r="D22" s="184" t="s">
        <v>92</v>
      </c>
      <c r="E22" s="187"/>
      <c r="F22" s="187"/>
      <c r="G22" s="111"/>
      <c r="H22" s="106"/>
      <c r="I22" s="106"/>
      <c r="J22" s="106" t="s">
        <v>22</v>
      </c>
      <c r="K22" s="106"/>
    </row>
    <row r="23" spans="1:11" ht="65.25" customHeight="1">
      <c r="A23" s="104" t="s">
        <v>156</v>
      </c>
      <c r="B23" s="106" t="s">
        <v>93</v>
      </c>
      <c r="C23" s="106" t="s">
        <v>94</v>
      </c>
      <c r="D23" s="188" t="s">
        <v>92</v>
      </c>
      <c r="E23" s="189"/>
      <c r="F23" s="189"/>
      <c r="G23" s="107"/>
      <c r="H23" s="117"/>
      <c r="I23" s="117"/>
      <c r="J23" s="117" t="s">
        <v>22</v>
      </c>
      <c r="K23" s="117"/>
    </row>
    <row r="24" spans="1:11" ht="18" customHeight="1">
      <c r="A24" s="185" t="s">
        <v>157</v>
      </c>
      <c r="B24" s="186"/>
      <c r="C24" s="186"/>
      <c r="D24" s="196"/>
      <c r="E24" s="196"/>
      <c r="F24" s="196"/>
      <c r="G24" s="114"/>
      <c r="H24" s="114"/>
      <c r="I24" s="114"/>
      <c r="J24" s="114"/>
      <c r="K24" s="115"/>
    </row>
    <row r="25" spans="1:11" ht="79.5" customHeight="1">
      <c r="A25" s="119" t="s">
        <v>158</v>
      </c>
      <c r="B25" s="106" t="s">
        <v>159</v>
      </c>
      <c r="C25" s="106" t="s">
        <v>160</v>
      </c>
      <c r="D25" s="188" t="s">
        <v>161</v>
      </c>
      <c r="E25" s="189"/>
      <c r="F25" s="189"/>
      <c r="G25" s="107"/>
      <c r="H25" s="117"/>
      <c r="I25" s="117"/>
      <c r="J25" s="117" t="s">
        <v>22</v>
      </c>
      <c r="K25" s="117"/>
    </row>
    <row r="26" spans="1:11" ht="81.75" customHeight="1">
      <c r="A26" s="119" t="s">
        <v>162</v>
      </c>
      <c r="B26" s="106" t="s">
        <v>163</v>
      </c>
      <c r="C26" s="106" t="s">
        <v>164</v>
      </c>
      <c r="D26" s="183" t="s">
        <v>165</v>
      </c>
      <c r="E26" s="183"/>
      <c r="F26" s="184"/>
      <c r="G26" s="111"/>
      <c r="H26" s="111"/>
      <c r="I26" s="106"/>
      <c r="J26" s="106" t="s">
        <v>22</v>
      </c>
      <c r="K26" s="106"/>
    </row>
    <row r="27" spans="1:11" ht="42" customHeight="1">
      <c r="A27" s="119" t="s">
        <v>166</v>
      </c>
      <c r="B27" s="106" t="s">
        <v>167</v>
      </c>
      <c r="C27" s="106" t="s">
        <v>168</v>
      </c>
      <c r="D27" s="183" t="s">
        <v>169</v>
      </c>
      <c r="E27" s="183"/>
      <c r="F27" s="184"/>
      <c r="G27" s="111"/>
      <c r="H27" s="106"/>
      <c r="I27" s="106"/>
      <c r="J27" s="106" t="s">
        <v>22</v>
      </c>
      <c r="K27" s="106"/>
    </row>
    <row r="28" spans="1:11">
      <c r="A28" s="206"/>
      <c r="B28" s="207"/>
    </row>
    <row r="29" spans="1:11">
      <c r="A29" s="206"/>
      <c r="B29" s="207"/>
    </row>
    <row r="30" spans="1:11">
      <c r="A30" s="207"/>
      <c r="B30" s="207"/>
    </row>
    <row r="31" spans="1:11">
      <c r="A31" s="206"/>
      <c r="B31" s="207"/>
      <c r="C31" s="82"/>
    </row>
    <row r="32" spans="1:11">
      <c r="A32" s="206"/>
      <c r="B32" s="207"/>
    </row>
    <row r="33" spans="1:2">
      <c r="A33" s="207"/>
      <c r="B33" s="207"/>
    </row>
    <row r="34" spans="1:2">
      <c r="A34" s="206"/>
      <c r="B34" s="207"/>
    </row>
    <row r="35" spans="1:2">
      <c r="A35" s="206"/>
      <c r="B35" s="207"/>
    </row>
    <row r="36" spans="1:2">
      <c r="A36" s="207"/>
      <c r="B36" s="207"/>
    </row>
    <row r="37" spans="1:2">
      <c r="A37" s="206"/>
      <c r="B37" s="207"/>
    </row>
    <row r="38" spans="1:2">
      <c r="A38" s="206"/>
      <c r="B38" s="207"/>
    </row>
    <row r="39" spans="1:2">
      <c r="A39" s="207"/>
      <c r="B39" s="207"/>
    </row>
    <row r="40" spans="1:2">
      <c r="A40" s="207"/>
      <c r="B40" s="207"/>
    </row>
  </sheetData>
  <mergeCells count="35">
    <mergeCell ref="D18:F18"/>
    <mergeCell ref="D19:F19"/>
    <mergeCell ref="D22:F22"/>
    <mergeCell ref="D13:F13"/>
    <mergeCell ref="D14:F14"/>
    <mergeCell ref="D17:F17"/>
    <mergeCell ref="I6:K6"/>
    <mergeCell ref="I7:K7"/>
    <mergeCell ref="A8:D8"/>
    <mergeCell ref="A11:K11"/>
    <mergeCell ref="A12:K12"/>
    <mergeCell ref="H9:H10"/>
    <mergeCell ref="I9:I10"/>
    <mergeCell ref="J9:J10"/>
    <mergeCell ref="K9:K10"/>
    <mergeCell ref="D15:F15"/>
    <mergeCell ref="A16:C16"/>
    <mergeCell ref="A9:A10"/>
    <mergeCell ref="B9:B10"/>
    <mergeCell ref="C9:C10"/>
    <mergeCell ref="D9:G10"/>
    <mergeCell ref="B3:D3"/>
    <mergeCell ref="I3:K3"/>
    <mergeCell ref="B4:D4"/>
    <mergeCell ref="I4:K4"/>
    <mergeCell ref="B5:D5"/>
    <mergeCell ref="I5:K5"/>
    <mergeCell ref="D27:F27"/>
    <mergeCell ref="A20:C20"/>
    <mergeCell ref="D21:F21"/>
    <mergeCell ref="A24:C24"/>
    <mergeCell ref="D25:F25"/>
    <mergeCell ref="D26:F26"/>
    <mergeCell ref="D23:F23"/>
    <mergeCell ref="D24:F24"/>
  </mergeCells>
  <pageMargins left="0.7" right="0.7" top="0.75" bottom="0.75" header="0.3" footer="0.3"/>
  <pageSetup paperSize="0" orientation="portrait" horizontalDpi="0" verticalDpi="0" copie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activeCell="C4" sqref="C4"/>
    </sheetView>
  </sheetViews>
  <sheetFormatPr defaultColWidth="8.75" defaultRowHeight="13.5"/>
  <cols>
    <col min="3" max="3" width="22.75" customWidth="1"/>
    <col min="7" max="7" width="18.75" customWidth="1"/>
  </cols>
  <sheetData>
    <row r="1" spans="1:7" ht="22.5">
      <c r="A1" s="2" t="s">
        <v>95</v>
      </c>
      <c r="B1" s="3"/>
      <c r="C1" s="4"/>
      <c r="D1" s="4"/>
      <c r="E1" s="4"/>
      <c r="F1" s="4"/>
      <c r="G1" s="5"/>
    </row>
    <row r="2" spans="1:7" ht="14.25" customHeight="1">
      <c r="A2" s="2"/>
      <c r="B2" s="3"/>
      <c r="C2" s="4"/>
      <c r="D2" s="4"/>
      <c r="E2" s="4"/>
      <c r="F2" s="4"/>
      <c r="G2" s="5"/>
    </row>
    <row r="3" spans="1:7" ht="14.25">
      <c r="B3" s="6" t="s">
        <v>96</v>
      </c>
      <c r="C3" s="4"/>
      <c r="D3" s="4"/>
      <c r="E3" s="4"/>
      <c r="F3" s="4"/>
      <c r="G3" s="5"/>
    </row>
    <row r="4" spans="1:7" ht="14.25">
      <c r="B4" s="6" t="s">
        <v>97</v>
      </c>
      <c r="C4" s="7"/>
      <c r="D4" s="6"/>
      <c r="E4" s="6"/>
      <c r="F4" s="6"/>
      <c r="G4" s="6"/>
    </row>
    <row r="5" spans="1:7" ht="14.25">
      <c r="A5" s="6"/>
      <c r="B5" s="6"/>
      <c r="C5" s="6"/>
      <c r="D5" s="6"/>
      <c r="E5" s="6"/>
      <c r="F5" s="6"/>
      <c r="G5" s="6"/>
    </row>
    <row r="6" spans="1:7" ht="14.25">
      <c r="A6" s="6"/>
      <c r="B6" s="6"/>
      <c r="C6" s="6"/>
      <c r="D6" s="6"/>
      <c r="E6" s="6"/>
      <c r="F6" s="6"/>
      <c r="G6" s="6"/>
    </row>
    <row r="7" spans="1:7" ht="25.5">
      <c r="A7" s="6"/>
      <c r="B7" s="8" t="s">
        <v>98</v>
      </c>
      <c r="C7" s="9" t="s">
        <v>99</v>
      </c>
      <c r="D7" s="10" t="s">
        <v>21</v>
      </c>
      <c r="E7" s="9" t="s">
        <v>23</v>
      </c>
      <c r="F7" s="9" t="s">
        <v>22</v>
      </c>
      <c r="G7" s="11" t="s">
        <v>100</v>
      </c>
    </row>
    <row r="8" spans="1:7" s="1" customFormat="1" ht="14.25">
      <c r="A8" s="12"/>
      <c r="B8" s="13">
        <v>1</v>
      </c>
      <c r="C8" s="14" t="str">
        <f>Samples!B4</f>
        <v>CR100 - Export to excel</v>
      </c>
      <c r="D8" s="15">
        <f>Samples!B6</f>
        <v>3</v>
      </c>
      <c r="E8" s="14">
        <f>Samples!B7</f>
        <v>0</v>
      </c>
      <c r="F8" s="14">
        <f>Samples!D6</f>
        <v>0</v>
      </c>
      <c r="G8" s="15">
        <f>Samples!D7</f>
        <v>-9</v>
      </c>
    </row>
    <row r="9" spans="1:7" ht="14.25">
      <c r="A9" s="6"/>
      <c r="B9" s="16"/>
      <c r="C9" s="17"/>
      <c r="D9" s="18"/>
      <c r="E9" s="19"/>
      <c r="F9" s="19"/>
      <c r="G9" s="20"/>
    </row>
    <row r="10" spans="1:7" ht="14.25">
      <c r="A10" s="6"/>
      <c r="B10" s="21"/>
      <c r="C10" s="22" t="s">
        <v>101</v>
      </c>
      <c r="D10" s="23">
        <f>SUM(D6:D9)</f>
        <v>3</v>
      </c>
      <c r="E10" s="23">
        <f>SUM(E6:E9)</f>
        <v>0</v>
      </c>
      <c r="F10" s="23">
        <f>SUM(F6:F9)</f>
        <v>0</v>
      </c>
      <c r="G10" s="24">
        <f>SUM(G6:G9)</f>
        <v>-9</v>
      </c>
    </row>
    <row r="11" spans="1:7" ht="14.25">
      <c r="A11" s="6"/>
      <c r="B11" s="25"/>
      <c r="C11" s="6"/>
      <c r="D11" s="26"/>
      <c r="E11" s="27"/>
      <c r="F11" s="27"/>
      <c r="G11" s="27"/>
    </row>
    <row r="12" spans="1:7" ht="14.25">
      <c r="A12" s="6"/>
      <c r="B12" s="6"/>
      <c r="C12" s="6" t="s">
        <v>102</v>
      </c>
      <c r="D12" s="6"/>
      <c r="E12" s="28">
        <f>(D10+E10)*100/G10</f>
        <v>-33.3333333333333</v>
      </c>
      <c r="F12" s="6" t="s">
        <v>103</v>
      </c>
      <c r="G12" s="29"/>
    </row>
    <row r="13" spans="1:7" ht="14.25">
      <c r="A13" s="6"/>
      <c r="B13" s="6"/>
      <c r="C13" s="6" t="s">
        <v>104</v>
      </c>
      <c r="D13" s="6"/>
      <c r="E13" s="28">
        <f>D10*100/G10</f>
        <v>-33.3333333333333</v>
      </c>
      <c r="F13" s="6" t="s">
        <v>103</v>
      </c>
      <c r="G13" s="29"/>
    </row>
  </sheetData>
  <pageMargins left="0.75" right="0.75" top="1" bottom="1" header="0.5" footer="0.5"/>
  <pageSetup orientation="landscape"/>
  <headerFooter alignWithMargins="0">
    <oddFooter>&amp;L&amp;"Tahoma,Regular"&amp;8 02ae-BM/PM/HDCV/FSOFT v1/0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Cover</vt:lpstr>
      <vt:lpstr>Favorite</vt:lpstr>
      <vt:lpstr>Samples</vt:lpstr>
      <vt:lpstr>Sheet1</vt:lpstr>
      <vt:lpstr>Booking</vt:lpstr>
      <vt:lpstr>Cancel Booking</vt:lpstr>
      <vt:lpstr>Test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subject>Test Case</dc:subject>
  <dc:creator>Vadim V. Bobrenok</dc:creator>
  <dc:description>v1.2</dc:description>
  <cp:lastModifiedBy>Vietboot</cp:lastModifiedBy>
  <cp:lastPrinted>2006-08-02T10:15:00Z</cp:lastPrinted>
  <dcterms:created xsi:type="dcterms:W3CDTF">2002-07-27T17:17:00Z</dcterms:created>
  <dcterms:modified xsi:type="dcterms:W3CDTF">2026-04-21T11:04:11Z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iority">
    <vt:lpwstr/>
  </property>
  <property fmtid="{D5CDD505-2E9C-101B-9397-08002B2CF9AE}" pid="3" name="ICV">
    <vt:lpwstr>20A95DD9B6FC487E8574604746F5BDCD_12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
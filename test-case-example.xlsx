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Samples" sheetId="122" r:id="rId10"/>
    <sheet name="Test Report" sheetId="107" r:id="rId11"/>
    <sheet name="pytest-cov" sheetId="135" r:id="rId12"/>
  </sheets>
  <externalReferences>
    <externalReference r:id="rId13"/>
    <externalReference r:id="rId14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35" l="1"/>
  <c r="D14" i="135"/>
  <c r="E19" i="107"/>
  <c r="E18" i="107"/>
  <c r="G16" i="107"/>
  <c r="F16" i="107"/>
  <c r="E16" i="107"/>
  <c r="D16" i="107"/>
  <c r="F15" i="107"/>
  <c r="E15" i="107"/>
  <c r="D15" i="107"/>
  <c r="F14" i="107"/>
  <c r="E14" i="107"/>
  <c r="D14" i="107"/>
  <c r="F13" i="107"/>
  <c r="E13" i="107"/>
  <c r="D13" i="107"/>
  <c r="F12" i="107"/>
  <c r="E12" i="107"/>
  <c r="D12" i="107"/>
  <c r="F11" i="107"/>
  <c r="E11" i="107"/>
  <c r="D11" i="107"/>
  <c r="F10" i="107"/>
  <c r="E10" i="107"/>
  <c r="D10" i="107"/>
  <c r="F9" i="107"/>
  <c r="E9" i="107"/>
  <c r="D9" i="107"/>
  <c r="F8" i="107"/>
  <c r="E8" i="107"/>
  <c r="D8" i="107"/>
  <c r="D7" i="122"/>
  <c r="B7" i="122"/>
  <c r="D6" i="122"/>
  <c r="B6" i="122"/>
  <c r="D7" i="129"/>
  <c r="B7" i="129"/>
  <c r="D6" i="129"/>
  <c r="B6" i="129"/>
  <c r="D7" i="126"/>
  <c r="B7" i="126"/>
  <c r="D6" i="126"/>
  <c r="B6" i="126"/>
  <c r="D7" i="130"/>
  <c r="B7" i="130"/>
  <c r="D6" i="130"/>
  <c r="B6" i="130"/>
  <c r="D7" i="128"/>
  <c r="B7" i="128"/>
  <c r="D6" i="128"/>
  <c r="B6" i="128"/>
  <c r="D7" i="123"/>
  <c r="B7" i="123"/>
  <c r="D6" i="123"/>
  <c r="B6" i="123"/>
</calcChain>
</file>

<file path=xl/sharedStrings.xml><?xml version="1.0" encoding="utf-8"?>
<sst xmlns="http://schemas.openxmlformats.org/spreadsheetml/2006/main" count="884" uniqueCount="537">
  <si>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</si>
  <si>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</si>
  <si>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</si>
  <si>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</si>
  <si>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</si>
  <si>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</si>
  <si>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</si>
  <si>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</si>
  <si>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</si>
  <si>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</si>
  <si>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</si>
  <si>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</si>
  <si>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</si>
  <si>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</si>
  <si>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</si>
  <si>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</si>
  <si>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</si>
  <si>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</si>
  <si>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</si>
  <si>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</si>
  <si>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</si>
  <si>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</si>
  <si>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</si>
  <si>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</si>
  <si>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</si>
  <si>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</si>
  <si>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</si>
  <si>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</si>
  <si>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</si>
  <si>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</si>
  <si>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</si>
  <si>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</si>
  <si>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</si>
  <si>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</si>
  <si>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</si>
  <si>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</si>
  <si>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</si>
  <si>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</si>
  <si>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</si>
  <si>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</si>
  <si>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</si>
  <si>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</si>
  <si>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</si>
  <si>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</si>
  <si>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</si>
  <si>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</si>
  <si>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</si>
  <si>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</si>
  <si>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</si>
  <si>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</si>
  <si>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</si>
  <si>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</si>
  <si>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</si>
  <si>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</si>
  <si>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</si>
  <si>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</si>
  <si>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</si>
  <si>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</si>
  <si>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</si>
  <si>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</si>
  <si>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</si>
  <si>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</si>
  <si>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</si>
  <si>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</si>
  <si>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</si>
  <si>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</si>
  <si>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</si>
  <si>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</si>
  <si>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</si>
  <si>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</si>
  <si>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</si>
  <si>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</si>
  <si>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</si>
  <si>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</si>
  <si>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</si>
  <si>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</si>
  <si>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</si>
  <si>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</si>
  <si>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</si>
  <si>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</si>
  <si>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</si>
  <si>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</si>
  <si>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</si>
  <si>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</si>
  <si>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</si>
  <si>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</si>
  <si>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</si>
  <si>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</si>
  <si>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</si>
  <si>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</si>
  <si>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</si>
  <si>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</si>
  <si>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</si>
  <si>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</si>
  <si>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</si>
  <si>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</si>
  <si>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</si>
  <si>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</si>
  <si>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</si>
  <si>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</si>
  <si>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</si>
  <si>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</si>
  <si>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</si>
  <si>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</si>
  <si>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</si>
  <si>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</si>
  <si>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</si>
  <si>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</si>
  <si>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</si>
  <si>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</si>
  <si>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</si>
  <si>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</si>
  <si>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</si>
  <si>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</si>
  <si>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</si>
  <si>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</si>
  <si>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</si>
  <si>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</si>
  <si>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</si>
  <si>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</si>
  <si>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</si>
  <si>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</si>
  <si>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</si>
  <si>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</si>
  <si>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</si>
  <si>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</si>
  <si>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</si>
  <si>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</si>
  <si>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</si>
  <si>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</si>
  <si>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</si>
  <si>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</si>
  <si>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</si>
  <si>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</si>
  <si>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</si>
  <si>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</si>
  <si>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</si>
  <si>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</si>
  <si>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</si>
  <si>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</si>
  <si>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</si>
  <si>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</si>
  <si>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</si>
  <si>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</si>
  <si>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</si>
  <si>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</si>
  <si>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</si>
  <si>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</si>
  <si>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</si>
  <si>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</si>
  <si>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</si>
  <si>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</si>
  <si>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</si>
  <si>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</si>
  <si>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</si>
  <si>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</si>
  <si>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</si>
  <si>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</si>
  <si>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</si>
  <si>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</si>
  <si>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</si>
  <si>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</si>
  <si>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</si>
  <si>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</si>
  <si>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</si>
  <si>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</si>
  <si>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</si>
  <si>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</si>
  <si>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</si>
  <si>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</si>
  <si>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</si>
  <si>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</si>
  <si>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</si>
  <si>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</si>
  <si>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</si>
  <si>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</si>
  <si>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</si>
  <si>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</si>
  <si>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</si>
  <si>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</si>
  <si>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</si>
  <si>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</si>
  <si>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</si>
  <si>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</si>
  <si>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</si>
  <si>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</si>
  <si>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</si>
  <si>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</si>
  <si>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</si>
  <si>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</si>
  <si>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</si>
  <si>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</si>
  <si>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</si>
  <si>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</si>
  <si>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</si>
  <si>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</si>
  <si>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</si>
  <si>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</si>
  <si>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</si>
  <si>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</si>
  <si>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</si>
  <si>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</si>
  <si>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</si>
  <si>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</si>
  <si>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</si>
  <si>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</si>
  <si>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</si>
  <si>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</si>
  <si>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</si>
  <si>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</si>
  <si>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</si>
  <si>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</si>
  <si>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</si>
  <si>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</si>
  <si>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</si>
  <si>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</si>
  <si>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</si>
  <si>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</si>
  <si>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</si>
  <si>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</si>
  <si>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</si>
  <si>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</si>
  <si>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</si>
  <si>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</si>
  <si>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</si>
  <si>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</si>
  <si>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</si>
  <si>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</si>
  <si>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</si>
  <si>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</si>
  <si>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</si>
  <si>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</si>
  <si>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</si>
  <si>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</si>
  <si>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</si>
  <si>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</si>
  <si>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</si>
  <si>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</si>
  <si>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</si>
  <si>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</si>
  <si>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</si>
  <si>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</si>
  <si>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</si>
  <si>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</si>
  <si>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</si>
  <si>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</si>
  <si>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</si>
  <si>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</si>
  <si>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</si>
  <si>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</si>
  <si>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</si>
  <si>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</si>
  <si>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</si>
  <si>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</si>
  <si>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</si>
  <si>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</si>
  <si>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</si>
  <si>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</si>
  <si>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</si>
  <si>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</si>
  <si>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</si>
  <si>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</si>
  <si>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</si>
  <si>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</si>
  <si>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</si>
  <si>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</si>
  <si>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</si>
  <si>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</si>
  <si>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</si>
  <si>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</si>
  <si>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</si>
  <si>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</si>
  <si>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</si>
  <si>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</si>
  <si>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</si>
  <si>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</si>
  <si>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</si>
  <si>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</si>
  <si>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</si>
  <si>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</si>
  <si>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</si>
  <si>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</si>
  <si>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</si>
  <si>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</si>
  <si>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</si>
  <si>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</si>
  <si>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</si>
  <si>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</si>
  <si>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</si>
  <si>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</si>
  <si>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</si>
  <si>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</si>
  <si>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</si>
  <si>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</si>
  <si>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</si>
  <si>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</si>
  <si>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</si>
  <si>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</si>
  <si>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</si>
  <si>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</si>
  <si>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</si>
  <si>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</si>
  <si>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</si>
  <si>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</si>
  <si>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</si>
  <si>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</si>
  <si>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</si>
  <si>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</si>
  <si>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</si>
  <si>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</si>
  <si>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</si>
  <si>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</si>
  <si>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</si>
  <si>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</si>
  <si>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</si>
  <si>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</si>
  <si>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</si>
  <si>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</si>
  <si>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</si>
  <si>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</si>
  <si>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</si>
  <si>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</si>
  <si>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</si>
  <si>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</si>
  <si>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</si>
  <si>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</si>
  <si>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</si>
  <si>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</si>
  <si>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</si>
  <si>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</si>
  <si>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</si>
  <si>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</si>
  <si>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</si>
  <si>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</si>
  <si>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</si>
  <si>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</si>
  <si>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</si>
  <si>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</si>
  <si>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</si>
  <si>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</si>
  <si>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</si>
  <si>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</si>
  <si>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</si>
  <si>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</si>
  <si>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</si>
  <si>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</si>
  <si>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</si>
  <si>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</si>
  <si>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</si>
  <si>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</si>
  <si>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</si>
  <si>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</si>
  <si>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</si>
  <si>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</si>
  <si>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</si>
  <si>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</si>
  <si>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</si>
  <si>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</si>
  <si>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</si>
  <si>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</si>
  <si>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</si>
  <si>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</si>
  <si>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</si>
  <si>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</si>
  <si>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</si>
  <si>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</si>
  <si>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</si>
  <si>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</si>
  <si>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</si>
  <si>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</si>
  <si>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</si>
  <si>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</si>
  <si>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</si>
  <si>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</si>
  <si>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</si>
  <si>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</si>
  <si>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</si>
  <si>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</si>
  <si>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</si>
  <si>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</si>
  <si>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</si>
  <si>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</si>
  <si>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</si>
  <si>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</si>
  <si>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</si>
  <si>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</si>
  <si>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</si>
  <si>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</si>
  <si>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</si>
  <si>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</si>
  <si>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</si>
  <si>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</si>
  <si>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</si>
  <si>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</si>
  <si>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</si>
  <si>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</si>
  <si>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</si>
  <si>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</si>
  <si>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</si>
  <si>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</si>
  <si>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</si>
  <si>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</si>
  <si>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</si>
  <si>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</si>
  <si>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</si>
  <si>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</si>
  <si>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</si>
  <si>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</si>
  <si>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</si>
  <si>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</si>
  <si>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</si>
  <si>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</si>
  <si>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</si>
  <si>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</si>
  <si>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</si>
  <si>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</si>
  <si>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</si>
  <si>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</si>
  <si>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</si>
  <si>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</si>
  <si>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</si>
  <si>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</si>
  <si>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</si>
  <si>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</si>
  <si>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</si>
  <si>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</si>
  <si>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</si>
  <si>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</si>
  <si>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</si>
  <si>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</si>
  <si>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</si>
  <si>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</si>
  <si>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</si>
  <si>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</si>
  <si>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</si>
  <si>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</si>
  <si>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</si>
  <si>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</si>
  <si>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</si>
  <si>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</si>
  <si>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</si>
  <si>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</si>
  <si>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</si>
  <si>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</si>
  <si>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</si>
  <si>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</si>
  <si>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</si>
  <si>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</si>
  <si>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</si>
  <si>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</si>
  <si>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</si>
  <si>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</si>
  <si>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</si>
  <si>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</si>
  <si>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</si>
  <si>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</si>
  <si>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</si>
  <si>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</si>
  <si>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</si>
  <si>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</si>
  <si>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</si>
  <si>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</si>
  <si>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</si>
  <si>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</si>
  <si>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</si>
  <si>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</si>
  <si>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</si>
  <si>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</si>
  <si>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</si>
  <si>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</si>
  <si>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</si>
  <si>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</si>
  <si>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</si>
  <si>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</si>
  <si>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</si>
  <si>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</si>
  <si>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</si>
  <si>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</si>
  <si>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</si>
  <si>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</si>
  <si>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</si>
  <si>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</si>
  <si>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</si>
  <si>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</si>
  <si>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</si>
  <si>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</si>
  <si>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</si>
  <si>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</si>
  <si>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</si>
  <si>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</si>
  <si>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</si>
  <si>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</si>
  <si>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</si>
  <si>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</si>
  <si>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</si>
  <si>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</si>
  <si>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</si>
  <si>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</si>
  <si>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</si>
  <si>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</si>
  <si>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</si>
  <si>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</si>
  <si>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</si>
  <si>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</si>
  <si>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</si>
  <si>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</si>
  <si>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</si>
  <si>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</si>
  <si>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</si>
  <si>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</si>
  <si>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</si>
  <si>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</si>
  <si>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</si>
  <si>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</si>
  <si>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__init__.py</t>
  </si>
  <si>
    <t>dao.py</t>
  </si>
  <si>
    <t>admin.py</t>
  </si>
  <si>
    <t>index.py</t>
  </si>
  <si>
    <t>28/4/2026</t>
  </si>
  <si>
    <t>pytest --cov=bookingapp --cov-report=term-missing</t>
  </si>
  <si>
    <t>Stmts</t>
  </si>
  <si>
    <t>Miss</t>
  </si>
  <si>
    <t>Cover</t>
  </si>
  <si>
    <t>Missing</t>
  </si>
  <si>
    <t>Name</t>
  </si>
  <si>
    <t>143-146</t>
  </si>
  <si>
    <t xml:space="preserve">11, 16, 196, 295 - 335  </t>
  </si>
  <si>
    <t>116, 126, 139, 143, 149-174, 188-189, 193, 199-224, 230-239, 244-284, 380-382, 392, 477-488, 532, 586, 590-595, 649-657, 687-695, 749, 821, 880-881</t>
  </si>
  <si>
    <t>182, 191, 218-220</t>
  </si>
  <si>
    <t>Related</t>
  </si>
  <si>
    <t>auth (116 - 124, 230 - 284); booking (380 - 392); cancel (477 - 488); payment (649-657, 687-695); revenue_report (749, 821)</t>
  </si>
  <si>
    <t>auth (11); booking (16); review (196); cancel (295 - 335)</t>
  </si>
  <si>
    <t>admin (143 - 146)</t>
  </si>
  <si>
    <t>None</t>
  </si>
  <si>
    <t>review (182, 191)</t>
  </si>
  <si>
    <t>models.py</t>
  </si>
  <si>
    <t>PYTEST-COV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</si>
</sst>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8" formatCode="[$-409]d\-mmm\-yy;@"/>
    <numFmt numFmtId="169" formatCode="0.000"/>
    <numFmt numFmtId="170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Tahoma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  <font>
      <sz val="10"/>
      <color rgb="FF000000"/>
      <name val="Times New Roman"/>
      <charset val="134"/>
    </font>
    <font>
      <sz val="11"/>
      <name val="ＭＳ Ｐゴシック"/>
      <charset val="128"/>
    </font>
    <font>
      <b/>
      <sz val="12"/>
      <name val="Tahoma"/>
      <family val="2"/>
    </font>
    <font>
      <sz val="10"/>
      <name val="Tahoma"/>
      <family val="2"/>
    </font>
    <font>
      <b/>
      <sz val="10"/>
      <color indexed="9"/>
      <name val="Tahoma"/>
      <family val="2"/>
    </font>
    <font>
      <sz val="10"/>
      <color rgb="FF000000"/>
      <name val="Arial"/>
      <family val="2"/>
    </font>
    <font>
      <b/>
      <sz val="18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rgb="FFF4F4F4"/>
      </patternFill>
    </fill>
  </fills>
  <borders count="64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/>
      <right/>
      <top style="thin">
        <color theme="0" tint="-0.249977111117893"/>
      </top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dotted">
        <color theme="0" tint="-0.249977111117893"/>
      </left>
      <right/>
      <top style="thin">
        <color theme="0" tint="-0.14999847407452621"/>
      </top>
      <bottom/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6">
    <xf numFmtId="0" fontId="0" fillId="0" borderId="0"/>
    <xf numFmtId="9" fontId="36" fillId="0" borderId="0" applyFont="0" applyFill="0" applyBorder="0" applyAlignment="0" applyProtection="0">
      <alignment vertical="center"/>
    </xf>
    <xf numFmtId="0" fontId="36" fillId="0" borderId="0"/>
    <xf numFmtId="0" fontId="41" fillId="0" borderId="0"/>
    <xf numFmtId="0" fontId="41" fillId="0" borderId="0" applyProtection="0"/>
    <xf numFmtId="0" fontId="37" fillId="0" borderId="0"/>
  </cellStyleXfs>
  <cellXfs count="253">
    <xf numFmtId="0" fontId="0" fillId="0" borderId="0" xfId="0"/>
    <xf numFmtId="0" fontId="0" fillId="0" borderId="0" xfId="0" applyAlignment="1">
      <alignment wrapText="1"/>
    </xf>
    <xf numFmtId="0" fontId="1" fillId="0" borderId="0" xfId="3" applyFont="1"/>
    <xf numFmtId="0" fontId="2" fillId="0" borderId="0" xfId="3" applyFont="1"/>
    <xf numFmtId="0" fontId="3" fillId="0" borderId="0" xfId="3" applyFont="1"/>
    <xf numFmtId="168" fontId="3" fillId="0" borderId="0" xfId="3" applyNumberFormat="1" applyFont="1"/>
    <xf numFmtId="0" fontId="3" fillId="0" borderId="0" xfId="0" applyFont="1"/>
    <xf numFmtId="168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6" fillId="2" borderId="8" xfId="0" applyFont="1" applyFill="1" applyBorder="1" applyAlignment="1">
      <alignment horizontal="center"/>
    </xf>
    <xf numFmtId="0" fontId="4" fillId="2" borderId="9" xfId="0" applyFont="1" applyFill="1" applyBorder="1"/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vertical="top"/>
    </xf>
    <xf numFmtId="0" fontId="2" fillId="5" borderId="0" xfId="4" applyFont="1" applyFill="1"/>
    <xf numFmtId="0" fontId="9" fillId="5" borderId="0" xfId="0" applyFont="1" applyFill="1" applyAlignment="1">
      <alignment wrapText="1"/>
    </xf>
    <xf numFmtId="0" fontId="8" fillId="5" borderId="0" xfId="0" applyFont="1" applyFill="1" applyAlignment="1">
      <alignment wrapText="1"/>
    </xf>
    <xf numFmtId="0" fontId="9" fillId="5" borderId="0" xfId="0" applyFont="1" applyFill="1"/>
    <xf numFmtId="0" fontId="2" fillId="5" borderId="13" xfId="4" applyFont="1" applyFill="1" applyBorder="1" applyAlignment="1">
      <alignment horizontal="left" wrapText="1"/>
    </xf>
    <xf numFmtId="0" fontId="3" fillId="5" borderId="0" xfId="4" applyFont="1" applyFill="1" applyAlignment="1">
      <alignment horizontal="left" wrapText="1"/>
    </xf>
    <xf numFmtId="0" fontId="8" fillId="5" borderId="0" xfId="0" applyFont="1" applyFill="1" applyAlignment="1">
      <alignment horizontal="center" wrapText="1"/>
    </xf>
    <xf numFmtId="0" fontId="8" fillId="5" borderId="0" xfId="0" applyFont="1" applyFill="1"/>
    <xf numFmtId="0" fontId="2" fillId="5" borderId="16" xfId="4" applyFont="1" applyFill="1" applyBorder="1" applyAlignment="1">
      <alignment horizontal="left" vertical="center" wrapText="1"/>
    </xf>
    <xf numFmtId="0" fontId="3" fillId="5" borderId="0" xfId="4" applyFont="1" applyFill="1" applyAlignment="1">
      <alignment horizontal="left" vertical="center" wrapText="1"/>
    </xf>
    <xf numFmtId="0" fontId="8" fillId="5" borderId="0" xfId="0" applyFont="1" applyFill="1" applyAlignment="1">
      <alignment vertical="center" wrapText="1"/>
    </xf>
    <xf numFmtId="0" fontId="8" fillId="5" borderId="16" xfId="0" applyFont="1" applyFill="1" applyBorder="1" applyAlignment="1">
      <alignment horizontal="right"/>
    </xf>
    <xf numFmtId="0" fontId="8" fillId="5" borderId="20" xfId="0" applyFont="1" applyFill="1" applyBorder="1" applyAlignment="1">
      <alignment wrapText="1"/>
    </xf>
    <xf numFmtId="0" fontId="8" fillId="5" borderId="20" xfId="0" applyFont="1" applyFill="1" applyBorder="1" applyAlignment="1">
      <alignment horizontal="center" wrapText="1"/>
    </xf>
    <xf numFmtId="0" fontId="8" fillId="5" borderId="21" xfId="0" applyFont="1" applyFill="1" applyBorder="1" applyAlignment="1">
      <alignment horizontal="center" wrapText="1"/>
    </xf>
    <xf numFmtId="0" fontId="8" fillId="5" borderId="22" xfId="0" applyFont="1" applyFill="1" applyBorder="1" applyAlignment="1">
      <alignment horizontal="right"/>
    </xf>
    <xf numFmtId="0" fontId="8" fillId="5" borderId="23" xfId="0" applyFont="1" applyFill="1" applyBorder="1" applyAlignment="1">
      <alignment wrapText="1"/>
    </xf>
    <xf numFmtId="0" fontId="8" fillId="0" borderId="23" xfId="0" applyFont="1" applyBorder="1" applyAlignment="1">
      <alignment horizontal="center"/>
    </xf>
    <xf numFmtId="1" fontId="8" fillId="5" borderId="24" xfId="0" applyNumberFormat="1" applyFont="1" applyFill="1" applyBorder="1" applyAlignment="1">
      <alignment horizontal="center" wrapText="1"/>
    </xf>
    <xf numFmtId="1" fontId="8" fillId="5" borderId="0" xfId="0" applyNumberFormat="1" applyFont="1" applyFill="1" applyAlignment="1">
      <alignment horizontal="center" wrapText="1"/>
    </xf>
    <xf numFmtId="0" fontId="8" fillId="5" borderId="26" xfId="0" applyFont="1" applyFill="1" applyBorder="1" applyAlignment="1">
      <alignment horizontal="center" wrapText="1"/>
    </xf>
    <xf numFmtId="0" fontId="10" fillId="5" borderId="0" xfId="0" applyFont="1" applyFill="1"/>
    <xf numFmtId="0" fontId="13" fillId="8" borderId="18" xfId="4" applyFont="1" applyFill="1" applyBorder="1" applyAlignment="1">
      <alignment horizontal="left" vertical="center" wrapText="1"/>
    </xf>
    <xf numFmtId="0" fontId="13" fillId="8" borderId="34" xfId="4" applyFont="1" applyFill="1" applyBorder="1" applyAlignment="1">
      <alignment horizontal="left" vertical="center" wrapText="1"/>
    </xf>
    <xf numFmtId="169" fontId="8" fillId="0" borderId="20" xfId="0" applyNumberFormat="1" applyFont="1" applyBorder="1" applyAlignment="1">
      <alignment horizontal="left" vertical="top" wrapText="1"/>
    </xf>
    <xf numFmtId="0" fontId="8" fillId="0" borderId="20" xfId="0" applyFont="1" applyBorder="1" applyAlignment="1">
      <alignment vertical="top" wrapText="1"/>
    </xf>
    <xf numFmtId="0" fontId="8" fillId="0" borderId="20" xfId="0" applyFont="1" applyBorder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/>
    </xf>
    <xf numFmtId="0" fontId="8" fillId="0" borderId="31" xfId="0" applyFont="1" applyBorder="1" applyAlignment="1">
      <alignment horizontal="center" vertical="top" wrapText="1"/>
    </xf>
    <xf numFmtId="0" fontId="8" fillId="0" borderId="31" xfId="0" applyFont="1" applyBorder="1" applyAlignment="1">
      <alignment horizontal="left" vertical="top" wrapText="1"/>
    </xf>
    <xf numFmtId="0" fontId="8" fillId="0" borderId="20" xfId="0" applyFont="1" applyBorder="1" applyAlignment="1">
      <alignment horizontal="center" vertical="top" wrapText="1"/>
    </xf>
    <xf numFmtId="0" fontId="9" fillId="5" borderId="12" xfId="0" applyFont="1" applyFill="1" applyBorder="1" applyAlignment="1">
      <alignment wrapText="1"/>
    </xf>
    <xf numFmtId="0" fontId="2" fillId="5" borderId="13" xfId="4" applyFont="1" applyFill="1" applyBorder="1" applyAlignment="1">
      <alignment horizontal="left" vertical="top" wrapText="1"/>
    </xf>
    <xf numFmtId="0" fontId="2" fillId="5" borderId="16" xfId="4" applyFont="1" applyFill="1" applyBorder="1" applyAlignment="1">
      <alignment horizontal="left" vertical="top" wrapText="1"/>
    </xf>
    <xf numFmtId="0" fontId="16" fillId="9" borderId="6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left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left" vertical="center" wrapText="1"/>
    </xf>
    <xf numFmtId="169" fontId="8" fillId="0" borderId="20" xfId="0" applyNumberFormat="1" applyFont="1" applyBorder="1" applyAlignment="1">
      <alignment vertical="top" wrapText="1"/>
    </xf>
    <xf numFmtId="0" fontId="8" fillId="0" borderId="17" xfId="0" applyFont="1" applyBorder="1" applyAlignment="1">
      <alignment vertical="top" wrapText="1"/>
    </xf>
    <xf numFmtId="0" fontId="8" fillId="0" borderId="18" xfId="0" applyFont="1" applyBorder="1" applyAlignment="1">
      <alignment vertical="top" wrapText="1"/>
    </xf>
    <xf numFmtId="0" fontId="8" fillId="0" borderId="34" xfId="0" applyFont="1" applyBorder="1" applyAlignment="1">
      <alignment vertical="top" wrapText="1"/>
    </xf>
    <xf numFmtId="0" fontId="14" fillId="0" borderId="17" xfId="0" applyFont="1" applyBorder="1" applyAlignment="1">
      <alignment vertical="top" wrapText="1"/>
    </xf>
    <xf numFmtId="0" fontId="13" fillId="8" borderId="18" xfId="4" applyFont="1" applyFill="1" applyBorder="1" applyAlignment="1">
      <alignment vertical="center" wrapText="1"/>
    </xf>
    <xf numFmtId="0" fontId="13" fillId="8" borderId="34" xfId="4" applyFont="1" applyFill="1" applyBorder="1" applyAlignment="1">
      <alignment vertical="center" wrapText="1"/>
    </xf>
    <xf numFmtId="0" fontId="8" fillId="0" borderId="31" xfId="0" applyFont="1" applyBorder="1" applyAlignment="1">
      <alignment vertical="top" wrapText="1"/>
    </xf>
    <xf numFmtId="0" fontId="20" fillId="10" borderId="6" xfId="0" applyFont="1" applyFill="1" applyBorder="1" applyAlignment="1">
      <alignment horizontal="left" vertical="center" wrapText="1"/>
    </xf>
    <xf numFmtId="169" fontId="8" fillId="11" borderId="20" xfId="0" applyNumberFormat="1" applyFont="1" applyFill="1" applyBorder="1" applyAlignment="1">
      <alignment horizontal="left" vertical="top" wrapText="1"/>
    </xf>
    <xf numFmtId="0" fontId="8" fillId="11" borderId="20" xfId="0" applyFont="1" applyFill="1" applyBorder="1" applyAlignment="1">
      <alignment horizontal="center" vertical="top" wrapText="1"/>
    </xf>
    <xf numFmtId="0" fontId="8" fillId="11" borderId="20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 wrapText="1"/>
    </xf>
    <xf numFmtId="0" fontId="14" fillId="0" borderId="20" xfId="0" applyFont="1" applyBorder="1" applyAlignment="1">
      <alignment horizontal="left" vertical="top" wrapText="1"/>
    </xf>
    <xf numFmtId="0" fontId="13" fillId="8" borderId="26" xfId="4" applyFont="1" applyFill="1" applyBorder="1" applyAlignment="1">
      <alignment horizontal="left" vertical="center" wrapText="1"/>
    </xf>
    <xf numFmtId="0" fontId="8" fillId="11" borderId="31" xfId="0" applyFont="1" applyFill="1" applyBorder="1" applyAlignment="1">
      <alignment horizontal="left" vertical="top" wrapText="1"/>
    </xf>
    <xf numFmtId="169" fontId="8" fillId="0" borderId="17" xfId="0" applyNumberFormat="1" applyFont="1" applyBorder="1" applyAlignment="1">
      <alignment horizontal="left" vertical="top" wrapText="1"/>
    </xf>
    <xf numFmtId="169" fontId="8" fillId="0" borderId="0" xfId="0" applyNumberFormat="1" applyFont="1" applyAlignment="1">
      <alignment horizontal="left" vertical="top" wrapText="1"/>
    </xf>
    <xf numFmtId="0" fontId="21" fillId="0" borderId="0" xfId="0" applyFont="1"/>
    <xf numFmtId="0" fontId="22" fillId="5" borderId="0" xfId="0" applyFont="1" applyFill="1" applyAlignment="1">
      <alignment wrapText="1"/>
    </xf>
    <xf numFmtId="0" fontId="22" fillId="5" borderId="12" xfId="0" applyFont="1" applyFill="1" applyBorder="1" applyAlignment="1">
      <alignment wrapText="1"/>
    </xf>
    <xf numFmtId="0" fontId="23" fillId="3" borderId="6" xfId="0" applyFont="1" applyFill="1" applyBorder="1" applyAlignment="1">
      <alignment horizontal="left" vertical="center" wrapText="1"/>
    </xf>
    <xf numFmtId="0" fontId="23" fillId="3" borderId="20" xfId="0" applyFont="1" applyFill="1" applyBorder="1" applyAlignment="1">
      <alignment horizontal="left" vertical="top" wrapText="1"/>
    </xf>
    <xf numFmtId="169" fontId="8" fillId="0" borderId="0" xfId="0" applyNumberFormat="1" applyFont="1" applyFill="1" applyBorder="1" applyAlignment="1">
      <alignment horizontal="left" vertical="top" wrapText="1"/>
    </xf>
    <xf numFmtId="0" fontId="23" fillId="0" borderId="0" xfId="0" applyFont="1" applyFill="1" applyBorder="1" applyAlignment="1">
      <alignment horizontal="left" vertical="top" wrapText="1"/>
    </xf>
    <xf numFmtId="0" fontId="8" fillId="0" borderId="0" xfId="0" applyFont="1" applyFill="1" applyBorder="1" applyAlignment="1">
      <alignment horizontal="left" vertical="top" wrapText="1"/>
    </xf>
    <xf numFmtId="0" fontId="14" fillId="0" borderId="0" xfId="0" applyFont="1" applyFill="1" applyBorder="1" applyAlignment="1">
      <alignment horizontal="left" vertical="top" wrapText="1"/>
    </xf>
    <xf numFmtId="0" fontId="24" fillId="0" borderId="0" xfId="0" applyFont="1"/>
    <xf numFmtId="0" fontId="22" fillId="0" borderId="20" xfId="4" applyFont="1" applyBorder="1" applyAlignment="1">
      <alignment horizontal="left" vertical="top" wrapText="1"/>
    </xf>
    <xf numFmtId="0" fontId="13" fillId="0" borderId="20" xfId="4" applyFont="1" applyBorder="1" applyAlignment="1">
      <alignment horizontal="left" vertical="center" wrapText="1"/>
    </xf>
    <xf numFmtId="0" fontId="8" fillId="0" borderId="20" xfId="4" applyFont="1" applyBorder="1" applyAlignment="1">
      <alignment horizontal="left" vertical="center" wrapText="1"/>
    </xf>
    <xf numFmtId="169" fontId="8" fillId="0" borderId="31" xfId="0" applyNumberFormat="1" applyFont="1" applyBorder="1" applyAlignment="1">
      <alignment horizontal="left" vertical="top" wrapText="1"/>
    </xf>
    <xf numFmtId="0" fontId="24" fillId="0" borderId="20" xfId="0" applyFont="1" applyBorder="1"/>
    <xf numFmtId="0" fontId="8" fillId="0" borderId="20" xfId="4" applyFont="1" applyFill="1" applyBorder="1" applyAlignment="1">
      <alignment horizontal="left" vertical="top" wrapText="1"/>
    </xf>
    <xf numFmtId="0" fontId="8" fillId="0" borderId="20" xfId="4" applyFont="1" applyFill="1" applyBorder="1" applyAlignment="1">
      <alignment horizontal="left" vertical="center" wrapText="1"/>
    </xf>
    <xf numFmtId="0" fontId="14" fillId="0" borderId="31" xfId="0" applyFont="1" applyBorder="1" applyAlignment="1">
      <alignment horizontal="left" vertical="top" wrapText="1"/>
    </xf>
    <xf numFmtId="0" fontId="26" fillId="0" borderId="0" xfId="0" applyFont="1"/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7" fillId="0" borderId="0" xfId="0" applyFont="1"/>
    <xf numFmtId="170" fontId="27" fillId="0" borderId="0" xfId="0" applyNumberFormat="1" applyFont="1"/>
    <xf numFmtId="170" fontId="26" fillId="0" borderId="0" xfId="0" applyNumberFormat="1" applyFont="1"/>
    <xf numFmtId="0" fontId="26" fillId="5" borderId="0" xfId="0" applyFont="1" applyFill="1"/>
    <xf numFmtId="170" fontId="28" fillId="5" borderId="0" xfId="0" applyNumberFormat="1" applyFont="1" applyFill="1"/>
    <xf numFmtId="170" fontId="29" fillId="5" borderId="0" xfId="0" applyNumberFormat="1" applyFont="1" applyFill="1"/>
    <xf numFmtId="0" fontId="30" fillId="0" borderId="0" xfId="2" applyFont="1"/>
    <xf numFmtId="0" fontId="31" fillId="0" borderId="0" xfId="2" applyFont="1"/>
    <xf numFmtId="0" fontId="30" fillId="0" borderId="38" xfId="2" applyFont="1" applyBorder="1"/>
    <xf numFmtId="170" fontId="32" fillId="0" borderId="0" xfId="0" applyNumberFormat="1" applyFont="1"/>
    <xf numFmtId="0" fontId="33" fillId="0" borderId="0" xfId="0" applyFont="1"/>
    <xf numFmtId="170" fontId="34" fillId="2" borderId="2" xfId="0" applyNumberFormat="1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 wrapText="1"/>
    </xf>
    <xf numFmtId="0" fontId="34" fillId="2" borderId="39" xfId="0" applyFont="1" applyFill="1" applyBorder="1" applyAlignment="1">
      <alignment horizontal="center" vertical="center"/>
    </xf>
    <xf numFmtId="170" fontId="35" fillId="11" borderId="38" xfId="2" applyNumberFormat="1" applyFont="1" applyFill="1" applyBorder="1" applyAlignment="1">
      <alignment horizontal="center" vertical="center" wrapText="1"/>
    </xf>
    <xf numFmtId="0" fontId="35" fillId="11" borderId="38" xfId="2" applyFont="1" applyFill="1" applyBorder="1" applyAlignment="1">
      <alignment horizontal="center" vertical="center" wrapText="1"/>
    </xf>
    <xf numFmtId="0" fontId="35" fillId="11" borderId="38" xfId="0" applyFont="1" applyFill="1" applyBorder="1" applyAlignment="1">
      <alignment horizontal="center" vertical="center" wrapText="1"/>
    </xf>
    <xf numFmtId="170" fontId="35" fillId="11" borderId="40" xfId="2" applyNumberFormat="1" applyFont="1" applyFill="1" applyBorder="1" applyAlignment="1">
      <alignment horizontal="center" vertical="center" wrapText="1"/>
    </xf>
    <xf numFmtId="0" fontId="35" fillId="11" borderId="40" xfId="2" applyFont="1" applyFill="1" applyBorder="1" applyAlignment="1">
      <alignment horizontal="center" vertical="center" wrapText="1"/>
    </xf>
    <xf numFmtId="0" fontId="35" fillId="11" borderId="40" xfId="0" applyFont="1" applyFill="1" applyBorder="1" applyAlignment="1">
      <alignment horizontal="center" vertical="center" wrapText="1"/>
    </xf>
    <xf numFmtId="170" fontId="35" fillId="0" borderId="20" xfId="0" applyNumberFormat="1" applyFont="1" applyBorder="1" applyAlignment="1">
      <alignment horizontal="center" vertical="center" wrapText="1"/>
    </xf>
    <xf numFmtId="0" fontId="35" fillId="0" borderId="20" xfId="0" applyFont="1" applyBorder="1" applyAlignment="1">
      <alignment horizontal="center" vertical="center" wrapText="1"/>
    </xf>
    <xf numFmtId="0" fontId="3" fillId="5" borderId="14" xfId="4" applyFont="1" applyFill="1" applyBorder="1" applyAlignment="1">
      <alignment horizontal="left" wrapText="1"/>
    </xf>
    <xf numFmtId="0" fontId="3" fillId="5" borderId="15" xfId="4" applyFont="1" applyFill="1" applyBorder="1" applyAlignment="1">
      <alignment horizontal="left" wrapText="1"/>
    </xf>
    <xf numFmtId="0" fontId="8" fillId="5" borderId="0" xfId="0" applyFont="1" applyFill="1" applyAlignment="1">
      <alignment horizontal="center" wrapText="1"/>
    </xf>
    <xf numFmtId="0" fontId="3" fillId="5" borderId="17" xfId="4" applyFont="1" applyFill="1" applyBorder="1" applyAlignment="1">
      <alignment horizontal="left" vertical="top" wrapText="1"/>
    </xf>
    <xf numFmtId="0" fontId="3" fillId="5" borderId="18" xfId="4" applyFont="1" applyFill="1" applyBorder="1" applyAlignment="1">
      <alignment horizontal="left" vertical="top" wrapText="1"/>
    </xf>
    <xf numFmtId="0" fontId="3" fillId="5" borderId="19" xfId="4" applyFont="1" applyFill="1" applyBorder="1" applyAlignment="1">
      <alignment horizontal="left" vertical="top" wrapText="1"/>
    </xf>
    <xf numFmtId="0" fontId="3" fillId="5" borderId="17" xfId="4" applyFont="1" applyFill="1" applyBorder="1" applyAlignment="1">
      <alignment horizontal="left" vertical="center" wrapText="1"/>
    </xf>
    <xf numFmtId="0" fontId="3" fillId="5" borderId="18" xfId="4" applyFont="1" applyFill="1" applyBorder="1" applyAlignment="1">
      <alignment horizontal="left" vertical="center" wrapText="1"/>
    </xf>
    <xf numFmtId="0" fontId="3" fillId="5" borderId="19" xfId="4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center" vertical="center" wrapText="1"/>
    </xf>
    <xf numFmtId="0" fontId="8" fillId="5" borderId="25" xfId="0" applyFont="1" applyFill="1" applyBorder="1" applyAlignment="1">
      <alignment horizontal="center"/>
    </xf>
    <xf numFmtId="0" fontId="12" fillId="7" borderId="18" xfId="0" applyFont="1" applyFill="1" applyBorder="1" applyAlignment="1">
      <alignment horizontal="left" vertical="center"/>
    </xf>
    <xf numFmtId="0" fontId="12" fillId="7" borderId="34" xfId="0" applyFont="1" applyFill="1" applyBorder="1" applyAlignment="1">
      <alignment horizontal="left" vertical="center"/>
    </xf>
    <xf numFmtId="0" fontId="13" fillId="8" borderId="17" xfId="4" applyFont="1" applyFill="1" applyBorder="1" applyAlignment="1">
      <alignment horizontal="left" vertical="center" wrapText="1"/>
    </xf>
    <xf numFmtId="0" fontId="13" fillId="8" borderId="18" xfId="4" applyFont="1" applyFill="1" applyBorder="1" applyAlignment="1">
      <alignment horizontal="left" vertical="center" wrapText="1"/>
    </xf>
    <xf numFmtId="0" fontId="13" fillId="8" borderId="34" xfId="4" applyFont="1" applyFill="1" applyBorder="1" applyAlignment="1">
      <alignment horizontal="left" vertical="center" wrapText="1"/>
    </xf>
    <xf numFmtId="0" fontId="22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0" fontId="22" fillId="0" borderId="17" xfId="4" applyFont="1" applyBorder="1" applyAlignment="1">
      <alignment horizontal="left" vertical="top" wrapText="1"/>
    </xf>
    <xf numFmtId="0" fontId="13" fillId="0" borderId="18" xfId="4" applyFont="1" applyBorder="1" applyAlignment="1">
      <alignment horizontal="left" vertical="top" wrapText="1"/>
    </xf>
    <xf numFmtId="0" fontId="13" fillId="0" borderId="34" xfId="4" applyFont="1" applyBorder="1" applyAlignment="1">
      <alignment horizontal="left" vertical="top" wrapText="1"/>
    </xf>
    <xf numFmtId="0" fontId="22" fillId="0" borderId="18" xfId="0" applyFont="1" applyBorder="1" applyAlignment="1">
      <alignment horizontal="left" vertical="top" wrapText="1"/>
    </xf>
    <xf numFmtId="0" fontId="22" fillId="0" borderId="34" xfId="0" applyFont="1" applyBorder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25" fillId="8" borderId="35" xfId="4" applyFont="1" applyFill="1" applyBorder="1" applyAlignment="1">
      <alignment horizontal="left" vertical="center" wrapText="1"/>
    </xf>
    <xf numFmtId="0" fontId="8" fillId="8" borderId="36" xfId="4" applyFont="1" applyFill="1" applyBorder="1" applyAlignment="1">
      <alignment horizontal="left" vertical="center" wrapText="1"/>
    </xf>
    <xf numFmtId="0" fontId="8" fillId="8" borderId="37" xfId="4" applyFont="1" applyFill="1" applyBorder="1" applyAlignment="1">
      <alignment horizontal="left" vertical="center" wrapText="1"/>
    </xf>
    <xf numFmtId="0" fontId="22" fillId="0" borderId="20" xfId="0" applyFont="1" applyBorder="1" applyAlignment="1">
      <alignment horizontal="left" vertical="top" wrapText="1"/>
    </xf>
    <xf numFmtId="0" fontId="8" fillId="0" borderId="20" xfId="0" applyFont="1" applyBorder="1" applyAlignment="1">
      <alignment horizontal="left" vertical="top" wrapText="1"/>
    </xf>
    <xf numFmtId="0" fontId="8" fillId="0" borderId="17" xfId="4" applyFont="1" applyFill="1" applyBorder="1" applyAlignment="1">
      <alignment horizontal="left" vertical="top" wrapText="1"/>
    </xf>
    <xf numFmtId="0" fontId="8" fillId="0" borderId="18" xfId="4" applyFont="1" applyFill="1" applyBorder="1" applyAlignment="1">
      <alignment horizontal="left" vertical="top" wrapText="1"/>
    </xf>
    <xf numFmtId="0" fontId="8" fillId="0" borderId="34" xfId="4" applyFont="1" applyFill="1" applyBorder="1" applyAlignment="1">
      <alignment horizontal="left" vertical="top" wrapText="1"/>
    </xf>
    <xf numFmtId="0" fontId="22" fillId="0" borderId="31" xfId="0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4" fillId="6" borderId="27" xfId="4" applyFont="1" applyFill="1" applyBorder="1" applyAlignment="1">
      <alignment horizontal="center" vertical="center" wrapText="1"/>
    </xf>
    <xf numFmtId="0" fontId="4" fillId="6" borderId="20" xfId="4" applyFont="1" applyFill="1" applyBorder="1" applyAlignment="1">
      <alignment horizontal="center" vertical="center" wrapText="1"/>
    </xf>
    <xf numFmtId="0" fontId="4" fillId="6" borderId="27" xfId="4" applyFont="1" applyFill="1" applyBorder="1" applyAlignment="1">
      <alignment vertical="center" wrapText="1"/>
    </xf>
    <xf numFmtId="0" fontId="4" fillId="6" borderId="20" xfId="4" applyFont="1" applyFill="1" applyBorder="1" applyAlignment="1">
      <alignment vertical="center" wrapText="1"/>
    </xf>
    <xf numFmtId="0" fontId="4" fillId="6" borderId="30" xfId="4" applyFont="1" applyFill="1" applyBorder="1" applyAlignment="1">
      <alignment horizontal="center" vertical="center" wrapText="1"/>
    </xf>
    <xf numFmtId="0" fontId="4" fillId="6" borderId="31" xfId="4" applyFont="1" applyFill="1" applyBorder="1" applyAlignment="1">
      <alignment horizontal="center" vertical="center" wrapText="1"/>
    </xf>
    <xf numFmtId="0" fontId="4" fillId="6" borderId="28" xfId="4" applyFont="1" applyFill="1" applyBorder="1" applyAlignment="1">
      <alignment horizontal="center" vertical="center" wrapText="1"/>
    </xf>
    <xf numFmtId="0" fontId="4" fillId="6" borderId="0" xfId="4" applyFont="1" applyFill="1" applyAlignment="1">
      <alignment horizontal="center" vertical="center" wrapText="1"/>
    </xf>
    <xf numFmtId="0" fontId="4" fillId="6" borderId="29" xfId="4" applyFont="1" applyFill="1" applyBorder="1" applyAlignment="1">
      <alignment horizontal="center" vertical="center" wrapText="1"/>
    </xf>
    <xf numFmtId="0" fontId="4" fillId="6" borderId="32" xfId="4" applyFont="1" applyFill="1" applyBorder="1" applyAlignment="1">
      <alignment horizontal="center" vertical="center" wrapText="1"/>
    </xf>
    <xf numFmtId="0" fontId="4" fillId="6" borderId="26" xfId="4" applyFont="1" applyFill="1" applyBorder="1" applyAlignment="1">
      <alignment horizontal="center" vertical="center" wrapText="1"/>
    </xf>
    <xf numFmtId="0" fontId="4" fillId="6" borderId="33" xfId="4" applyFont="1" applyFill="1" applyBorder="1" applyAlignment="1">
      <alignment horizontal="center" vertical="center" wrapText="1"/>
    </xf>
    <xf numFmtId="0" fontId="13" fillId="0" borderId="0" xfId="4" applyFont="1" applyFill="1" applyBorder="1" applyAlignment="1">
      <alignment horizontal="left" vertical="center" wrapText="1"/>
    </xf>
    <xf numFmtId="0" fontId="22" fillId="0" borderId="0" xfId="0" applyFont="1" applyFill="1" applyBorder="1" applyAlignment="1">
      <alignment horizontal="left" vertical="top" wrapText="1"/>
    </xf>
    <xf numFmtId="0" fontId="8" fillId="0" borderId="0" xfId="0" applyFont="1" applyFill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0" borderId="36" xfId="0" applyFont="1" applyBorder="1" applyAlignment="1">
      <alignment horizontal="left" vertical="top" wrapText="1"/>
    </xf>
    <xf numFmtId="0" fontId="13" fillId="8" borderId="18" xfId="4" applyFont="1" applyFill="1" applyBorder="1" applyAlignment="1">
      <alignment horizontal="center" vertical="center" wrapText="1"/>
    </xf>
    <xf numFmtId="0" fontId="19" fillId="8" borderId="17" xfId="4" applyFont="1" applyFill="1" applyBorder="1" applyAlignment="1">
      <alignment horizontal="left" vertical="center" wrapText="1"/>
    </xf>
    <xf numFmtId="0" fontId="19" fillId="8" borderId="18" xfId="4" applyFont="1" applyFill="1" applyBorder="1" applyAlignment="1">
      <alignment horizontal="left" vertical="center" wrapText="1"/>
    </xf>
    <xf numFmtId="0" fontId="19" fillId="8" borderId="34" xfId="4" applyFont="1" applyFill="1" applyBorder="1" applyAlignment="1">
      <alignment horizontal="left" vertical="center" wrapText="1"/>
    </xf>
    <xf numFmtId="0" fontId="17" fillId="8" borderId="17" xfId="4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left" vertical="top" wrapText="1"/>
    </xf>
    <xf numFmtId="0" fontId="13" fillId="0" borderId="18" xfId="0" applyFont="1" applyBorder="1" applyAlignment="1">
      <alignment horizontal="left" vertical="top" wrapText="1"/>
    </xf>
    <xf numFmtId="0" fontId="18" fillId="8" borderId="18" xfId="4" applyFont="1" applyFill="1" applyBorder="1" applyAlignment="1">
      <alignment horizontal="left" vertical="center" wrapText="1"/>
    </xf>
    <xf numFmtId="0" fontId="18" fillId="8" borderId="34" xfId="4" applyFont="1" applyFill="1" applyBorder="1" applyAlignment="1">
      <alignment horizontal="left" vertical="center" wrapText="1"/>
    </xf>
    <xf numFmtId="0" fontId="8" fillId="0" borderId="17" xfId="0" applyFont="1" applyBorder="1" applyAlignment="1">
      <alignment vertical="top" wrapText="1"/>
    </xf>
    <xf numFmtId="0" fontId="8" fillId="0" borderId="18" xfId="0" applyFont="1" applyBorder="1" applyAlignment="1">
      <alignment vertical="top" wrapText="1"/>
    </xf>
    <xf numFmtId="0" fontId="13" fillId="8" borderId="17" xfId="4" applyFont="1" applyFill="1" applyBorder="1" applyAlignment="1">
      <alignment vertical="center" wrapText="1"/>
    </xf>
    <xf numFmtId="0" fontId="13" fillId="8" borderId="18" xfId="4" applyFont="1" applyFill="1" applyBorder="1" applyAlignment="1">
      <alignment vertical="center" wrapText="1"/>
    </xf>
    <xf numFmtId="0" fontId="13" fillId="0" borderId="18" xfId="0" applyFont="1" applyBorder="1" applyAlignment="1">
      <alignment vertical="top" wrapText="1"/>
    </xf>
    <xf numFmtId="0" fontId="15" fillId="8" borderId="17" xfId="4" applyFont="1" applyFill="1" applyBorder="1" applyAlignment="1">
      <alignment horizontal="left" vertical="center" wrapText="1"/>
    </xf>
    <xf numFmtId="0" fontId="13" fillId="8" borderId="17" xfId="4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wrapText="1"/>
    </xf>
    <xf numFmtId="0" fontId="9" fillId="5" borderId="12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9" fontId="5" fillId="3" borderId="6" xfId="0" applyNumberFormat="1" applyFont="1" applyFill="1" applyBorder="1" applyAlignment="1">
      <alignment horizontal="center" vertical="center" wrapText="1"/>
    </xf>
    <xf numFmtId="168" fontId="3" fillId="0" borderId="0" xfId="0" applyNumberFormat="1" applyFont="1" applyBorder="1" applyAlignment="1">
      <alignment horizontal="left"/>
    </xf>
    <xf numFmtId="0" fontId="43" fillId="0" borderId="0" xfId="3" applyFont="1"/>
    <xf numFmtId="0" fontId="44" fillId="2" borderId="2" xfId="0" applyFont="1" applyFill="1" applyBorder="1" applyAlignment="1">
      <alignment horizontal="center" vertical="center"/>
    </xf>
    <xf numFmtId="0" fontId="44" fillId="2" borderId="42" xfId="0" applyFont="1" applyFill="1" applyBorder="1" applyAlignment="1">
      <alignment horizontal="center" vertical="center"/>
    </xf>
    <xf numFmtId="9" fontId="5" fillId="4" borderId="6" xfId="0" applyNumberFormat="1" applyFont="1" applyFill="1" applyBorder="1" applyAlignment="1">
      <alignment horizontal="center" vertical="center" wrapText="1"/>
    </xf>
    <xf numFmtId="0" fontId="5" fillId="3" borderId="43" xfId="0" applyFont="1" applyFill="1" applyBorder="1" applyAlignment="1">
      <alignment horizontal="center" vertical="center" wrapText="1"/>
    </xf>
    <xf numFmtId="0" fontId="44" fillId="2" borderId="44" xfId="0" applyFont="1" applyFill="1" applyBorder="1" applyAlignment="1">
      <alignment horizontal="center" vertical="center" wrapText="1"/>
    </xf>
    <xf numFmtId="0" fontId="6" fillId="2" borderId="45" xfId="0" applyFont="1" applyFill="1" applyBorder="1" applyAlignment="1">
      <alignment horizontal="center"/>
    </xf>
    <xf numFmtId="0" fontId="44" fillId="2" borderId="3" xfId="0" applyFont="1" applyFill="1" applyBorder="1" applyAlignment="1">
      <alignment horizontal="center" vertical="center"/>
    </xf>
    <xf numFmtId="0" fontId="42" fillId="0" borderId="0" xfId="0" applyFont="1" applyBorder="1" applyAlignment="1">
      <alignment vertical="center"/>
    </xf>
    <xf numFmtId="0" fontId="3" fillId="0" borderId="46" xfId="0" applyFont="1" applyBorder="1"/>
    <xf numFmtId="0" fontId="5" fillId="4" borderId="48" xfId="0" applyFont="1" applyFill="1" applyBorder="1" applyAlignment="1">
      <alignment horizontal="center" vertical="center" wrapText="1"/>
    </xf>
    <xf numFmtId="0" fontId="43" fillId="0" borderId="49" xfId="0" applyFont="1" applyFill="1" applyBorder="1" applyAlignment="1">
      <alignment horizontal="center" vertical="center"/>
    </xf>
    <xf numFmtId="0" fontId="43" fillId="0" borderId="50" xfId="0" applyFont="1" applyFill="1" applyBorder="1" applyAlignment="1">
      <alignment horizontal="center" vertical="center"/>
    </xf>
    <xf numFmtId="0" fontId="5" fillId="3" borderId="43" xfId="1" applyNumberFormat="1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3" borderId="52" xfId="0" applyFont="1" applyFill="1" applyBorder="1" applyAlignment="1">
      <alignment horizontal="center" vertical="center" wrapText="1"/>
    </xf>
    <xf numFmtId="9" fontId="5" fillId="3" borderId="53" xfId="0" applyNumberFormat="1" applyFont="1" applyFill="1" applyBorder="1" applyAlignment="1">
      <alignment horizontal="center" vertical="center" wrapText="1"/>
    </xf>
    <xf numFmtId="9" fontId="5" fillId="4" borderId="51" xfId="0" applyNumberFormat="1" applyFont="1" applyFill="1" applyBorder="1" applyAlignment="1">
      <alignment horizontal="center" vertical="center" wrapText="1"/>
    </xf>
    <xf numFmtId="9" fontId="5" fillId="3" borderId="51" xfId="0" applyNumberFormat="1" applyFont="1" applyFill="1" applyBorder="1" applyAlignment="1">
      <alignment horizontal="center" vertical="center" wrapText="1"/>
    </xf>
    <xf numFmtId="0" fontId="45" fillId="12" borderId="7" xfId="0" applyFont="1" applyFill="1" applyBorder="1" applyAlignment="1">
      <alignment horizontal="left" vertical="center" wrapText="1"/>
    </xf>
    <xf numFmtId="0" fontId="44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/>
    </xf>
    <xf numFmtId="0" fontId="45" fillId="4" borderId="7" xfId="0" applyFont="1" applyFill="1" applyBorder="1" applyAlignment="1">
      <alignment horizontal="left" vertical="top" wrapText="1"/>
    </xf>
    <xf numFmtId="0" fontId="45" fillId="3" borderId="7" xfId="0" applyFont="1" applyFill="1" applyBorder="1" applyAlignment="1">
      <alignment horizontal="left" vertical="top" wrapText="1"/>
    </xf>
    <xf numFmtId="0" fontId="5" fillId="3" borderId="41" xfId="0" applyFont="1" applyFill="1" applyBorder="1" applyAlignment="1">
      <alignment horizontal="left" vertical="top" wrapText="1"/>
    </xf>
    <xf numFmtId="0" fontId="0" fillId="0" borderId="54" xfId="0" applyBorder="1"/>
    <xf numFmtId="0" fontId="45" fillId="4" borderId="55" xfId="0" applyFont="1" applyFill="1" applyBorder="1" applyAlignment="1">
      <alignment horizontal="left" vertical="top" wrapText="1"/>
    </xf>
    <xf numFmtId="0" fontId="5" fillId="4" borderId="59" xfId="0" applyFont="1" applyFill="1" applyBorder="1" applyAlignment="1">
      <alignment horizontal="left" vertical="top" wrapText="1"/>
    </xf>
    <xf numFmtId="0" fontId="45" fillId="3" borderId="50" xfId="0" applyFont="1" applyFill="1" applyBorder="1" applyAlignment="1">
      <alignment horizontal="left" vertical="top" wrapText="1"/>
    </xf>
    <xf numFmtId="0" fontId="6" fillId="2" borderId="61" xfId="0" applyFont="1" applyFill="1" applyBorder="1" applyAlignment="1">
      <alignment horizontal="center"/>
    </xf>
    <xf numFmtId="0" fontId="6" fillId="2" borderId="62" xfId="0" applyFont="1" applyFill="1" applyBorder="1" applyAlignment="1">
      <alignment horizontal="center"/>
    </xf>
    <xf numFmtId="0" fontId="45" fillId="4" borderId="60" xfId="0" applyFont="1" applyFill="1" applyBorder="1" applyAlignment="1">
      <alignment horizontal="left" vertical="top" wrapText="1"/>
    </xf>
    <xf numFmtId="9" fontId="45" fillId="3" borderId="56" xfId="0" applyNumberFormat="1" applyFont="1" applyFill="1" applyBorder="1" applyAlignment="1">
      <alignment horizontal="left" vertical="top" wrapText="1"/>
    </xf>
    <xf numFmtId="9" fontId="45" fillId="3" borderId="57" xfId="0" applyNumberFormat="1" applyFont="1" applyFill="1" applyBorder="1" applyAlignment="1">
      <alignment horizontal="left" vertical="top" wrapText="1"/>
    </xf>
    <xf numFmtId="0" fontId="45" fillId="3" borderId="58" xfId="0" applyFont="1" applyFill="1" applyBorder="1" applyAlignment="1">
      <alignment horizontal="left" vertical="top" wrapText="1"/>
    </xf>
    <xf numFmtId="0" fontId="5" fillId="3" borderId="63" xfId="0" applyFont="1" applyFill="1" applyBorder="1" applyAlignment="1">
      <alignment horizontal="center" vertical="center" wrapText="1"/>
    </xf>
    <xf numFmtId="0" fontId="5" fillId="3" borderId="47" xfId="0" applyFont="1" applyFill="1" applyBorder="1" applyAlignment="1">
      <alignment horizontal="center" vertical="center" wrapText="1"/>
    </xf>
    <xf numFmtId="0" fontId="45" fillId="3" borderId="53" xfId="0" applyFont="1" applyFill="1" applyBorder="1" applyAlignment="1">
      <alignment horizontal="center" vertical="center" wrapText="1"/>
    </xf>
    <xf numFmtId="168" fontId="43" fillId="0" borderId="0" xfId="0" applyNumberFormat="1" applyFont="1" applyBorder="1" applyAlignment="1">
      <alignment horizontal="left"/>
    </xf>
    <xf numFmtId="0" fontId="46" fillId="0" borderId="0" xfId="3" applyFont="1"/>
    <xf numFmtId="9" fontId="45" fillId="3" borderId="0" xfId="0" applyNumberFormat="1" applyFont="1" applyFill="1" applyBorder="1" applyAlignment="1">
      <alignment horizontal="center" vertical="top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87922</xdr:colOff>
      <xdr:row>8</xdr:row>
      <xdr:rowOff>43961</xdr:rowOff>
    </xdr:from>
    <xdr:to>
      <xdr:col>8</xdr:col>
      <xdr:colOff>3444093</xdr:colOff>
      <xdr:row>12</xdr:row>
      <xdr:rowOff>131885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6441" y="1773115"/>
          <a:ext cx="3356171" cy="90853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tmyx/Downloads/TestCase_FullModu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Sheet1"/>
      <sheetName val="Sheet2"/>
      <sheetName val="Sheet3"/>
      <sheetName val="Sheet4"/>
      <sheetName val="AUTH"/>
      <sheetName val="HOME"/>
      <sheetName val="FAV"/>
      <sheetName val="BOOKING"/>
      <sheetName val="CANCEL"/>
      <sheetName val="REVIEW"/>
      <sheetName val="ADMIN"/>
      <sheetName val="VENUE"/>
      <sheetName val="Test Repo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8">
          <cell r="G28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  <row r="31">
          <cell r="G31" t="str">
            <v>Pending</v>
          </cell>
        </row>
        <row r="32">
          <cell r="G32" t="str">
            <v>Pending</v>
          </cell>
        </row>
        <row r="33">
          <cell r="G33" t="str">
            <v>Pending</v>
          </cell>
        </row>
        <row r="35">
          <cell r="G35" t="str">
            <v>Pending</v>
          </cell>
        </row>
        <row r="36">
          <cell r="G36" t="str">
            <v>Pending</v>
          </cell>
        </row>
        <row r="38">
          <cell r="G38" t="str">
            <v>Pending</v>
          </cell>
        </row>
        <row r="39">
          <cell r="G39" t="str">
            <v>Pending</v>
          </cell>
        </row>
      </sheetData>
      <sheetData sheetId="6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</sheetData>
      <sheetData sheetId="7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</sheetData>
      <sheetData sheetId="8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8">
          <cell r="G28" t="str">
            <v>Pending</v>
          </cell>
        </row>
        <row r="29">
          <cell r="G29" t="str">
            <v>Pending</v>
          </cell>
        </row>
      </sheetData>
      <sheetData sheetId="9" refreshError="1">
        <row r="11">
          <cell r="G11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</sheetData>
      <sheetData sheetId="10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</sheetData>
      <sheetData sheetId="11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</sheetData>
      <sheetData sheetId="12" refreshError="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</sheetData>
      <sheetData sheetId="1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C24" sqref="C24"/>
    </sheetView>
  </sheetViews>
  <sheetFormatPr defaultColWidth="9" defaultRowHeight="14.25"/>
  <cols>
    <col min="1" max="1" width="9" style="111"/>
    <col min="2" max="2" width="29.75" style="112" customWidth="1"/>
    <col min="3" max="3" width="23.125" style="111" customWidth="1"/>
    <col min="4" max="4" width="66.75" style="111" customWidth="1"/>
    <col min="5" max="5" width="141.375" style="111" customWidth="1"/>
    <col min="6" max="7" width="31.125" style="111" customWidth="1"/>
    <col min="8" max="8" width="174.5" style="111" customWidth="1"/>
    <col min="9" max="16384" width="9" style="111"/>
  </cols>
  <sheetData>
    <row r="1" spans="1:9" s="107" customFormat="1" ht="23.25">
      <c r="B1" s="113"/>
    </row>
    <row r="2" spans="1:9" s="107" customFormat="1" ht="23.25">
      <c r="A2" s="114"/>
      <c r="B2" s="115" t="s">
        <v>0</v>
      </c>
      <c r="C2" s="114"/>
      <c r="D2" s="114"/>
      <c r="E2" s="114"/>
      <c r="F2" s="114"/>
      <c r="G2" s="114"/>
    </row>
    <row r="3" spans="1:9" s="107" customFormat="1" ht="24.75">
      <c r="A3" s="114"/>
      <c r="B3" s="116" t="s">
        <v>1</v>
      </c>
      <c r="C3" s="117">
        <v>1.2</v>
      </c>
      <c r="D3" s="118"/>
      <c r="E3" s="118"/>
      <c r="F3" s="118"/>
      <c r="G3" s="118"/>
      <c r="H3" s="118"/>
      <c r="I3" s="118"/>
    </row>
    <row r="4" spans="1:9" s="107" customFormat="1" ht="24.75">
      <c r="A4" s="114"/>
      <c r="B4" s="116" t="s">
        <v>2</v>
      </c>
      <c r="C4" s="117" t="s">
        <v>3</v>
      </c>
      <c r="D4" s="118"/>
      <c r="E4" s="118"/>
      <c r="F4" s="118"/>
      <c r="G4" s="118"/>
      <c r="H4" s="118"/>
      <c r="I4" s="118"/>
    </row>
    <row r="5" spans="1:9" s="107" customFormat="1" ht="24.75">
      <c r="A5" s="114"/>
      <c r="B5" s="116"/>
      <c r="C5" s="118"/>
      <c r="D5" s="118"/>
      <c r="E5" s="118"/>
      <c r="F5" s="118"/>
      <c r="G5" s="118"/>
      <c r="H5" s="118"/>
      <c r="I5" s="118"/>
    </row>
    <row r="6" spans="1:9" s="107" customFormat="1" ht="47.45" customHeight="1">
      <c r="A6" s="114"/>
      <c r="B6" s="116" t="s">
        <v>4</v>
      </c>
      <c r="C6" s="119" t="s">
        <v>5</v>
      </c>
      <c r="D6" s="118"/>
      <c r="E6" s="118"/>
      <c r="F6" s="118"/>
      <c r="G6" s="118"/>
      <c r="H6" s="118"/>
      <c r="I6" s="118"/>
    </row>
    <row r="7" spans="1:9" s="107" customFormat="1" ht="27" customHeight="1">
      <c r="A7" s="114"/>
      <c r="B7" s="116" t="s">
        <v>6</v>
      </c>
      <c r="C7" s="119" t="s">
        <v>7</v>
      </c>
      <c r="D7" s="118"/>
      <c r="E7" s="118"/>
      <c r="F7" s="118"/>
      <c r="G7" s="118"/>
      <c r="H7" s="118"/>
      <c r="I7" s="118"/>
    </row>
    <row r="8" spans="1:9" s="107" customFormat="1" ht="23.25">
      <c r="A8" s="114"/>
      <c r="B8" s="116"/>
      <c r="C8" s="114"/>
      <c r="D8" s="114"/>
      <c r="E8" s="114"/>
      <c r="F8" s="114"/>
      <c r="G8" s="114"/>
    </row>
    <row r="9" spans="1:9" s="107" customFormat="1" ht="23.25">
      <c r="A9" s="114"/>
      <c r="B9" s="113"/>
      <c r="F9" s="114"/>
      <c r="G9" s="114"/>
    </row>
    <row r="10" spans="1:9" s="107" customFormat="1" ht="24">
      <c r="B10" s="120" t="s">
        <v>8</v>
      </c>
      <c r="C10" s="121"/>
      <c r="D10" s="121"/>
      <c r="E10" s="121"/>
      <c r="F10" s="121"/>
      <c r="G10" s="121"/>
      <c r="H10" s="121"/>
    </row>
    <row r="11" spans="1:9" s="108" customFormat="1" ht="63.6" customHeight="1">
      <c r="B11" s="122"/>
      <c r="C11" s="123" t="s">
        <v>9</v>
      </c>
      <c r="D11" s="123" t="s">
        <v>10</v>
      </c>
      <c r="E11" s="123" t="s">
        <v>11</v>
      </c>
      <c r="F11" s="123" t="s">
        <v>12</v>
      </c>
      <c r="G11" s="124" t="s">
        <v>13</v>
      </c>
      <c r="H11" s="125" t="s">
        <v>14</v>
      </c>
    </row>
    <row r="12" spans="1:9" s="109" customFormat="1" ht="49.9" customHeight="1">
      <c r="B12" s="126">
        <v>46268</v>
      </c>
      <c r="C12" s="127" t="s">
        <v>15</v>
      </c>
      <c r="D12" s="127" t="s">
        <v>16</v>
      </c>
      <c r="E12" s="127" t="s">
        <v>17</v>
      </c>
      <c r="F12" s="127" t="s">
        <v>18</v>
      </c>
      <c r="G12" s="127" t="s">
        <v>18</v>
      </c>
      <c r="H12" s="128" t="s">
        <v>19</v>
      </c>
    </row>
    <row r="13" spans="1:9" s="109" customFormat="1" ht="49.9" customHeight="1">
      <c r="B13" s="126">
        <v>46116</v>
      </c>
      <c r="C13" s="127">
        <v>1.1000000000000001</v>
      </c>
      <c r="D13" s="127" t="s">
        <v>20</v>
      </c>
      <c r="E13" s="127" t="s">
        <v>21</v>
      </c>
      <c r="F13" s="127" t="s">
        <v>22</v>
      </c>
      <c r="G13" s="127" t="s">
        <v>18</v>
      </c>
      <c r="H13" s="128" t="s">
        <v>23</v>
      </c>
    </row>
    <row r="14" spans="1:9" s="109" customFormat="1" ht="49.9" customHeight="1">
      <c r="B14" s="126">
        <v>46116</v>
      </c>
      <c r="C14" s="127">
        <v>1.1000000000000001</v>
      </c>
      <c r="D14" s="127" t="s">
        <v>24</v>
      </c>
      <c r="E14" s="127" t="s">
        <v>25</v>
      </c>
      <c r="F14" s="127" t="s">
        <v>26</v>
      </c>
      <c r="G14" s="127" t="s">
        <v>18</v>
      </c>
      <c r="H14" s="128" t="s">
        <v>27</v>
      </c>
    </row>
    <row r="15" spans="1:9" s="109" customFormat="1" ht="49.9" customHeight="1">
      <c r="B15" s="126">
        <v>46116</v>
      </c>
      <c r="C15" s="127">
        <v>1.1000000000000001</v>
      </c>
      <c r="D15" s="127" t="s">
        <v>28</v>
      </c>
      <c r="E15" s="127" t="s">
        <v>29</v>
      </c>
      <c r="F15" s="127" t="s">
        <v>18</v>
      </c>
      <c r="G15" s="127" t="s">
        <v>18</v>
      </c>
      <c r="H15" s="128" t="s">
        <v>30</v>
      </c>
    </row>
    <row r="16" spans="1:9" s="109" customFormat="1" ht="49.9" customHeight="1">
      <c r="B16" s="126">
        <v>46116</v>
      </c>
      <c r="C16" s="127">
        <v>1.1000000000000001</v>
      </c>
      <c r="D16" s="127" t="s">
        <v>31</v>
      </c>
      <c r="E16" s="127" t="s">
        <v>32</v>
      </c>
      <c r="F16" s="127" t="s">
        <v>18</v>
      </c>
      <c r="G16" s="127" t="s">
        <v>18</v>
      </c>
      <c r="H16" s="128" t="s">
        <v>33</v>
      </c>
    </row>
    <row r="17" spans="2:8" s="110" customFormat="1" ht="49.9" customHeight="1">
      <c r="B17" s="126">
        <v>46330</v>
      </c>
      <c r="C17" s="127">
        <v>1.2</v>
      </c>
      <c r="D17" s="127" t="s">
        <v>20</v>
      </c>
      <c r="E17" s="127" t="s">
        <v>34</v>
      </c>
      <c r="F17" s="127" t="s">
        <v>22</v>
      </c>
      <c r="G17" s="127" t="s">
        <v>18</v>
      </c>
      <c r="H17" s="128" t="s">
        <v>23</v>
      </c>
    </row>
    <row r="18" spans="2:8" s="110" customFormat="1" ht="49.9" customHeight="1">
      <c r="B18" s="126">
        <v>46330</v>
      </c>
      <c r="C18" s="127">
        <v>1.2</v>
      </c>
      <c r="D18" s="127" t="s">
        <v>24</v>
      </c>
      <c r="E18" s="127" t="s">
        <v>35</v>
      </c>
      <c r="F18" s="127" t="s">
        <v>26</v>
      </c>
      <c r="G18" s="127" t="s">
        <v>18</v>
      </c>
      <c r="H18" s="128" t="s">
        <v>27</v>
      </c>
    </row>
    <row r="19" spans="2:8" s="109" customFormat="1" ht="49.9" customHeight="1">
      <c r="B19" s="126" t="s">
        <v>36</v>
      </c>
      <c r="C19" s="127">
        <v>1.2</v>
      </c>
      <c r="D19" s="127" t="s">
        <v>37</v>
      </c>
      <c r="E19" s="127" t="s">
        <v>38</v>
      </c>
      <c r="F19" s="127" t="s">
        <v>18</v>
      </c>
      <c r="G19" s="127"/>
      <c r="H19" s="128" t="s">
        <v>39</v>
      </c>
    </row>
    <row r="20" spans="2:8" s="109" customFormat="1" ht="49.9" customHeight="1">
      <c r="B20" s="126" t="s">
        <v>40</v>
      </c>
      <c r="C20" s="127">
        <v>1.3</v>
      </c>
      <c r="D20" s="127" t="s">
        <v>41</v>
      </c>
      <c r="E20" s="127" t="s">
        <v>42</v>
      </c>
      <c r="F20" s="127" t="s">
        <v>26</v>
      </c>
      <c r="G20" s="127"/>
      <c r="H20" s="128" t="s">
        <v>43</v>
      </c>
    </row>
    <row r="21" spans="2:8" s="109" customFormat="1" ht="49.9" customHeight="1">
      <c r="B21" s="126" t="s">
        <v>44</v>
      </c>
      <c r="C21" s="127">
        <v>1.3</v>
      </c>
      <c r="D21" s="127" t="s">
        <v>28</v>
      </c>
      <c r="E21" s="127" t="s">
        <v>45</v>
      </c>
      <c r="F21" s="127" t="s">
        <v>18</v>
      </c>
      <c r="G21" s="127"/>
      <c r="H21" s="128" t="s">
        <v>30</v>
      </c>
    </row>
    <row r="22" spans="2:8" s="109" customFormat="1" ht="49.9" customHeight="1">
      <c r="B22" s="126" t="s">
        <v>44</v>
      </c>
      <c r="C22" s="127">
        <v>1.3</v>
      </c>
      <c r="D22" s="127" t="s">
        <v>31</v>
      </c>
      <c r="E22" s="127" t="s">
        <v>46</v>
      </c>
      <c r="F22" s="127" t="s">
        <v>18</v>
      </c>
      <c r="G22" s="127"/>
      <c r="H22" s="128" t="s">
        <v>33</v>
      </c>
    </row>
    <row r="23" spans="2:8" s="109" customFormat="1" ht="49.9" customHeight="1">
      <c r="B23" s="126">
        <v>46134</v>
      </c>
      <c r="C23" s="127" t="s">
        <v>47</v>
      </c>
      <c r="D23" s="127" t="s">
        <v>48</v>
      </c>
      <c r="E23" s="127" t="s">
        <v>49</v>
      </c>
      <c r="F23" s="127" t="s">
        <v>18</v>
      </c>
      <c r="G23" s="127"/>
      <c r="H23" s="128" t="s">
        <v>50</v>
      </c>
    </row>
    <row r="24" spans="2:8" s="109" customFormat="1" ht="49.9" customHeight="1">
      <c r="B24" s="126">
        <v>46135</v>
      </c>
      <c r="C24" s="127"/>
      <c r="D24" s="127" t="s">
        <v>20</v>
      </c>
      <c r="E24" s="127" t="s">
        <v>51</v>
      </c>
      <c r="F24" s="127" t="s">
        <v>22</v>
      </c>
      <c r="G24" s="127"/>
      <c r="H24" s="128"/>
    </row>
    <row r="25" spans="2:8" s="109" customFormat="1" ht="49.9" customHeight="1">
      <c r="B25" s="126">
        <v>46135</v>
      </c>
      <c r="C25" s="127"/>
      <c r="D25" s="127" t="s">
        <v>52</v>
      </c>
      <c r="E25" s="127" t="s">
        <v>53</v>
      </c>
      <c r="F25" s="127" t="s">
        <v>22</v>
      </c>
      <c r="G25" s="127"/>
      <c r="H25" s="128"/>
    </row>
    <row r="26" spans="2:8" s="109" customFormat="1" ht="49.9" customHeight="1">
      <c r="B26" s="126">
        <v>46135</v>
      </c>
      <c r="C26" s="127"/>
      <c r="D26" s="127" t="s">
        <v>54</v>
      </c>
      <c r="E26" s="127" t="s">
        <v>55</v>
      </c>
      <c r="F26" s="127" t="s">
        <v>22</v>
      </c>
      <c r="G26" s="127"/>
      <c r="H26" s="128"/>
    </row>
    <row r="27" spans="2:8" ht="49.9" customHeight="1">
      <c r="B27" s="126"/>
      <c r="C27" s="127"/>
      <c r="D27" s="127"/>
      <c r="E27" s="127"/>
      <c r="F27" s="127"/>
      <c r="G27" s="127"/>
      <c r="H27" s="128"/>
    </row>
    <row r="28" spans="2:8" ht="49.9" customHeight="1">
      <c r="B28" s="126"/>
      <c r="C28" s="127"/>
      <c r="D28" s="127"/>
      <c r="E28" s="127"/>
      <c r="F28" s="127"/>
      <c r="G28" s="127"/>
      <c r="H28" s="128"/>
    </row>
    <row r="29" spans="2:8" ht="49.9" customHeight="1">
      <c r="B29" s="129"/>
      <c r="C29" s="130"/>
      <c r="D29" s="130"/>
      <c r="E29" s="130"/>
      <c r="F29" s="130"/>
      <c r="G29" s="130"/>
      <c r="H29" s="131"/>
    </row>
    <row r="30" spans="2:8" ht="44.45" customHeight="1">
      <c r="B30" s="132"/>
      <c r="C30" s="133"/>
      <c r="D30" s="133"/>
      <c r="E30" s="133"/>
      <c r="F30" s="133"/>
      <c r="G30" s="133"/>
      <c r="H30" s="133"/>
    </row>
    <row r="31" spans="2:8" ht="39" customHeight="1">
      <c r="B31" s="132"/>
      <c r="C31" s="133"/>
      <c r="D31" s="133"/>
      <c r="E31" s="133"/>
      <c r="F31" s="133"/>
      <c r="G31" s="133"/>
      <c r="H31" s="133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D15" sqref="D15:G15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30" t="s">
        <v>0</v>
      </c>
      <c r="B1" s="90" t="s">
        <v>56</v>
      </c>
      <c r="C1" s="90"/>
      <c r="D1" s="90"/>
      <c r="E1" s="31"/>
      <c r="F1" s="31"/>
      <c r="G1" s="31"/>
      <c r="H1" s="31"/>
      <c r="I1" s="31"/>
      <c r="J1" s="32"/>
      <c r="K1" s="31"/>
    </row>
    <row r="2" spans="1:11" ht="14.25">
      <c r="A2" s="33"/>
      <c r="B2" s="91"/>
      <c r="C2" s="91"/>
      <c r="D2" s="91"/>
      <c r="E2" s="31"/>
      <c r="F2" s="31"/>
      <c r="G2" s="31"/>
      <c r="H2" s="31"/>
      <c r="I2" s="31"/>
      <c r="J2" s="32"/>
      <c r="K2" s="31"/>
    </row>
    <row r="3" spans="1:11" ht="14.25">
      <c r="A3" s="34" t="s">
        <v>57</v>
      </c>
      <c r="B3" s="134" t="s">
        <v>58</v>
      </c>
      <c r="C3" s="134"/>
      <c r="D3" s="135"/>
      <c r="E3" s="35"/>
      <c r="F3" s="35"/>
      <c r="G3" s="35"/>
      <c r="H3" s="35"/>
      <c r="I3" s="136"/>
      <c r="J3" s="136"/>
      <c r="K3" s="136"/>
    </row>
    <row r="4" spans="1:11" ht="14.25">
      <c r="A4" s="38" t="s">
        <v>59</v>
      </c>
      <c r="B4" s="137" t="s">
        <v>60</v>
      </c>
      <c r="C4" s="138"/>
      <c r="D4" s="139"/>
      <c r="E4" s="35"/>
      <c r="F4" s="35"/>
      <c r="G4" s="35"/>
      <c r="H4" s="35"/>
      <c r="I4" s="136"/>
      <c r="J4" s="136"/>
      <c r="K4" s="136"/>
    </row>
    <row r="5" spans="1:11">
      <c r="A5" s="38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</row>
    <row r="6" spans="1:11" ht="14.25">
      <c r="A6" s="41" t="s">
        <v>63</v>
      </c>
      <c r="B6" s="42">
        <v>0</v>
      </c>
      <c r="C6" s="43" t="s">
        <v>64</v>
      </c>
      <c r="D6" s="44">
        <v>11</v>
      </c>
      <c r="E6" s="36"/>
      <c r="F6" s="36"/>
      <c r="G6" s="36"/>
      <c r="H6" s="36"/>
      <c r="I6" s="136"/>
      <c r="J6" s="136"/>
      <c r="K6" s="136"/>
    </row>
    <row r="7" spans="1:11" ht="14.25">
      <c r="A7" s="45" t="s">
        <v>65</v>
      </c>
      <c r="B7" s="46">
        <v>0</v>
      </c>
      <c r="C7" s="47" t="s">
        <v>66</v>
      </c>
      <c r="D7" s="48">
        <v>11</v>
      </c>
      <c r="E7" s="49"/>
      <c r="F7" s="49"/>
      <c r="G7" s="49"/>
      <c r="H7" s="49"/>
      <c r="I7" s="136"/>
      <c r="J7" s="136"/>
      <c r="K7" s="136"/>
    </row>
    <row r="8" spans="1:11" ht="14.25">
      <c r="A8" s="144"/>
      <c r="B8" s="144"/>
      <c r="C8" s="144"/>
      <c r="D8" s="144"/>
      <c r="E8" s="36"/>
      <c r="F8" s="36"/>
      <c r="G8" s="36"/>
      <c r="H8" s="36"/>
      <c r="I8" s="36"/>
      <c r="J8" s="50"/>
      <c r="K8" s="50"/>
    </row>
    <row r="9" spans="1:1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</row>
    <row r="10" spans="1:1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</row>
    <row r="11" spans="1:1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1">
      <c r="A12" s="147" t="s">
        <v>75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1" ht="63.75">
      <c r="A13" s="54" t="s">
        <v>76</v>
      </c>
      <c r="B13" s="56" t="s">
        <v>77</v>
      </c>
      <c r="C13" s="56" t="s">
        <v>78</v>
      </c>
      <c r="D13" s="150" t="s">
        <v>79</v>
      </c>
      <c r="E13" s="151"/>
      <c r="F13" s="151"/>
      <c r="G13" s="152"/>
      <c r="H13" s="58"/>
      <c r="I13" s="60"/>
      <c r="J13" s="56" t="s">
        <v>64</v>
      </c>
      <c r="K13" s="56"/>
    </row>
    <row r="14" spans="1:11">
      <c r="A14" s="147" t="s">
        <v>80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9"/>
    </row>
    <row r="15" spans="1:11" ht="63.75">
      <c r="A15" s="99" t="s">
        <v>81</v>
      </c>
      <c r="B15" s="99" t="s">
        <v>82</v>
      </c>
      <c r="C15" s="99" t="s">
        <v>83</v>
      </c>
      <c r="D15" s="153" t="s">
        <v>84</v>
      </c>
      <c r="E15" s="154"/>
      <c r="F15" s="154"/>
      <c r="G15" s="155"/>
      <c r="H15" s="100"/>
      <c r="I15" s="100"/>
      <c r="J15" s="101" t="s">
        <v>64</v>
      </c>
      <c r="K15" s="100"/>
    </row>
    <row r="16" spans="1:11">
      <c r="A16" s="147" t="s">
        <v>85</v>
      </c>
      <c r="B16" s="148"/>
      <c r="C16" s="148"/>
      <c r="D16" s="52"/>
      <c r="E16" s="52"/>
      <c r="F16" s="52"/>
      <c r="G16" s="52"/>
      <c r="H16" s="52"/>
      <c r="I16" s="52"/>
      <c r="J16" s="52"/>
      <c r="K16" s="53"/>
    </row>
    <row r="17" spans="1:11">
      <c r="A17" s="54" t="s">
        <v>86</v>
      </c>
      <c r="B17" s="62" t="s">
        <v>87</v>
      </c>
      <c r="C17" s="62" t="s">
        <v>88</v>
      </c>
      <c r="D17" s="150" t="s">
        <v>89</v>
      </c>
      <c r="E17" s="156"/>
      <c r="F17" s="156"/>
      <c r="G17" s="157"/>
      <c r="H17" s="58"/>
      <c r="I17" s="57"/>
      <c r="J17" s="56" t="s">
        <v>64</v>
      </c>
      <c r="K17" s="56"/>
    </row>
    <row r="18" spans="1:11">
      <c r="A18" s="147" t="s">
        <v>90</v>
      </c>
      <c r="B18" s="148"/>
      <c r="C18" s="148"/>
      <c r="D18" s="52"/>
      <c r="E18" s="52"/>
      <c r="F18" s="52"/>
      <c r="G18" s="52"/>
      <c r="H18" s="52"/>
      <c r="I18" s="52"/>
      <c r="J18" s="52"/>
      <c r="K18" s="53"/>
    </row>
    <row r="19" spans="1:11" ht="38.25">
      <c r="A19" s="54" t="s">
        <v>91</v>
      </c>
      <c r="B19" s="56" t="s">
        <v>92</v>
      </c>
      <c r="C19" s="56" t="s">
        <v>93</v>
      </c>
      <c r="D19" s="158" t="s">
        <v>94</v>
      </c>
      <c r="E19" s="151"/>
      <c r="F19" s="151"/>
      <c r="G19" s="152"/>
      <c r="H19" s="58"/>
      <c r="I19" s="57"/>
      <c r="J19" s="56" t="s">
        <v>64</v>
      </c>
      <c r="K19" s="56"/>
    </row>
    <row r="20" spans="1:11">
      <c r="A20" s="147" t="s">
        <v>95</v>
      </c>
      <c r="B20" s="148"/>
      <c r="C20" s="148"/>
      <c r="D20" s="52"/>
      <c r="E20" s="52"/>
      <c r="F20" s="52"/>
      <c r="G20" s="52"/>
      <c r="H20" s="52"/>
      <c r="I20" s="52"/>
      <c r="J20" s="52"/>
      <c r="K20" s="53"/>
    </row>
    <row r="21" spans="1:11" ht="63.75">
      <c r="A21" s="54" t="s">
        <v>96</v>
      </c>
      <c r="B21" s="56" t="s">
        <v>97</v>
      </c>
      <c r="C21" s="56" t="s">
        <v>98</v>
      </c>
      <c r="D21" s="158" t="s">
        <v>99</v>
      </c>
      <c r="E21" s="151"/>
      <c r="F21" s="151"/>
      <c r="G21" s="152"/>
      <c r="H21" s="58"/>
      <c r="I21" s="57"/>
      <c r="J21" s="56" t="s">
        <v>64</v>
      </c>
      <c r="K21" s="56"/>
    </row>
    <row r="22" spans="1:11" ht="51">
      <c r="A22" s="54" t="s">
        <v>100</v>
      </c>
      <c r="B22" s="56" t="s">
        <v>101</v>
      </c>
      <c r="C22" s="56" t="s">
        <v>102</v>
      </c>
      <c r="D22" s="158" t="s">
        <v>103</v>
      </c>
      <c r="E22" s="151"/>
      <c r="F22" s="151"/>
      <c r="G22" s="152"/>
      <c r="H22" s="56"/>
      <c r="I22" s="56"/>
      <c r="J22" s="56" t="s">
        <v>64</v>
      </c>
      <c r="K22" s="56"/>
    </row>
    <row r="23" spans="1:11">
      <c r="A23" s="147" t="s">
        <v>104</v>
      </c>
      <c r="B23" s="148"/>
      <c r="C23" s="148"/>
      <c r="D23" s="148"/>
      <c r="E23" s="148"/>
      <c r="F23" s="148"/>
      <c r="G23" s="148"/>
      <c r="H23" s="148"/>
      <c r="I23" s="148"/>
      <c r="J23" s="148"/>
      <c r="K23" s="149"/>
    </row>
    <row r="24" spans="1:11" ht="66.95" customHeight="1">
      <c r="A24" s="54" t="s">
        <v>105</v>
      </c>
      <c r="B24" s="56" t="s">
        <v>106</v>
      </c>
      <c r="C24" s="56" t="s">
        <v>107</v>
      </c>
      <c r="D24" s="158" t="s">
        <v>108</v>
      </c>
      <c r="E24" s="151"/>
      <c r="F24" s="151"/>
      <c r="G24" s="152"/>
      <c r="H24" s="56"/>
      <c r="I24" s="56"/>
      <c r="J24" s="56" t="s">
        <v>64</v>
      </c>
      <c r="K24" s="56"/>
    </row>
    <row r="25" spans="1:11" ht="99" customHeight="1">
      <c r="A25" s="54" t="s">
        <v>109</v>
      </c>
      <c r="B25" s="56" t="s">
        <v>110</v>
      </c>
      <c r="C25" s="56" t="s">
        <v>111</v>
      </c>
      <c r="D25" s="158" t="s">
        <v>112</v>
      </c>
      <c r="E25" s="151"/>
      <c r="F25" s="151"/>
      <c r="G25" s="152"/>
      <c r="H25" s="56"/>
      <c r="I25" s="56"/>
      <c r="J25" s="56" t="s">
        <v>64</v>
      </c>
      <c r="K25" s="56"/>
    </row>
    <row r="26" spans="1:11">
      <c r="A26" s="147" t="s">
        <v>113</v>
      </c>
      <c r="B26" s="148"/>
      <c r="C26" s="148"/>
      <c r="D26" s="148"/>
      <c r="E26" s="148"/>
      <c r="F26" s="148"/>
      <c r="G26" s="148"/>
      <c r="H26" s="148"/>
      <c r="I26" s="148"/>
      <c r="J26" s="148"/>
      <c r="K26" s="149"/>
    </row>
    <row r="27" spans="1:11" s="98" customFormat="1" ht="63.75">
      <c r="A27" s="54" t="s">
        <v>114</v>
      </c>
      <c r="B27" s="56" t="s">
        <v>115</v>
      </c>
      <c r="C27" s="56" t="s">
        <v>116</v>
      </c>
      <c r="D27" s="158" t="s">
        <v>117</v>
      </c>
      <c r="E27" s="151"/>
      <c r="F27" s="151"/>
      <c r="G27" s="152"/>
      <c r="H27" s="56"/>
      <c r="I27" s="56"/>
      <c r="J27" s="56" t="s">
        <v>64</v>
      </c>
      <c r="K27" s="56"/>
    </row>
    <row r="28" spans="1:11" ht="25.5">
      <c r="A28" s="102" t="s">
        <v>118</v>
      </c>
      <c r="B28" s="56" t="s">
        <v>119</v>
      </c>
      <c r="C28" s="56" t="s">
        <v>120</v>
      </c>
      <c r="D28" s="158" t="s">
        <v>121</v>
      </c>
      <c r="E28" s="151"/>
      <c r="F28" s="151"/>
      <c r="G28" s="152"/>
      <c r="H28" s="56"/>
      <c r="I28" s="56"/>
      <c r="J28" s="56" t="s">
        <v>64</v>
      </c>
      <c r="K28" s="56"/>
    </row>
    <row r="29" spans="1:11" ht="25.5">
      <c r="A29" s="54" t="s">
        <v>122</v>
      </c>
      <c r="B29" s="59" t="s">
        <v>123</v>
      </c>
      <c r="C29" s="56" t="s">
        <v>124</v>
      </c>
      <c r="D29" s="158" t="s">
        <v>125</v>
      </c>
      <c r="E29" s="151"/>
      <c r="F29" s="151"/>
      <c r="G29" s="152"/>
      <c r="H29" s="103"/>
      <c r="I29" s="103"/>
      <c r="J29" s="56" t="s">
        <v>64</v>
      </c>
      <c r="K29" s="103"/>
    </row>
    <row r="30" spans="1:11">
      <c r="A30" s="159" t="s">
        <v>126</v>
      </c>
      <c r="B30" s="160"/>
      <c r="C30" s="160"/>
      <c r="D30" s="160"/>
      <c r="E30" s="160"/>
      <c r="F30" s="160"/>
      <c r="G30" s="160"/>
      <c r="H30" s="160"/>
      <c r="I30" s="160"/>
      <c r="J30" s="160"/>
      <c r="K30" s="161"/>
    </row>
    <row r="31" spans="1:11" ht="102">
      <c r="A31" s="54" t="s">
        <v>76</v>
      </c>
      <c r="B31" s="56" t="s">
        <v>127</v>
      </c>
      <c r="C31" s="56" t="s">
        <v>128</v>
      </c>
      <c r="D31" s="162" t="s">
        <v>129</v>
      </c>
      <c r="E31" s="163"/>
      <c r="F31" s="163"/>
      <c r="G31" s="163"/>
      <c r="H31" s="56"/>
      <c r="I31" s="84"/>
      <c r="J31" s="56" t="s">
        <v>64</v>
      </c>
      <c r="K31" s="56"/>
    </row>
    <row r="32" spans="1:11" ht="51">
      <c r="A32" s="104" t="s">
        <v>81</v>
      </c>
      <c r="B32" s="104" t="s">
        <v>130</v>
      </c>
      <c r="C32" s="105" t="s">
        <v>131</v>
      </c>
      <c r="D32" s="164" t="s">
        <v>132</v>
      </c>
      <c r="E32" s="165"/>
      <c r="F32" s="165"/>
      <c r="G32" s="166"/>
      <c r="H32" s="105"/>
      <c r="I32" s="105"/>
      <c r="J32" s="104" t="s">
        <v>64</v>
      </c>
      <c r="K32" s="104"/>
    </row>
    <row r="33" spans="1:11" ht="51">
      <c r="A33" s="54" t="s">
        <v>86</v>
      </c>
      <c r="B33" s="56" t="s">
        <v>133</v>
      </c>
      <c r="C33" s="56" t="s">
        <v>134</v>
      </c>
      <c r="D33" s="162" t="s">
        <v>135</v>
      </c>
      <c r="E33" s="163"/>
      <c r="F33" s="163"/>
      <c r="G33" s="163"/>
      <c r="H33" s="56"/>
      <c r="I33" s="84"/>
      <c r="J33" s="56" t="s">
        <v>64</v>
      </c>
      <c r="K33" s="56"/>
    </row>
    <row r="34" spans="1:11" ht="63.75">
      <c r="A34" s="54" t="s">
        <v>91</v>
      </c>
      <c r="B34" s="56" t="s">
        <v>136</v>
      </c>
      <c r="C34" s="56" t="s">
        <v>137</v>
      </c>
      <c r="D34" s="162" t="s">
        <v>138</v>
      </c>
      <c r="E34" s="163"/>
      <c r="F34" s="163"/>
      <c r="G34" s="163"/>
      <c r="H34" s="56"/>
      <c r="I34" s="84"/>
      <c r="J34" s="56" t="s">
        <v>64</v>
      </c>
      <c r="K34" s="56"/>
    </row>
    <row r="35" spans="1:11" ht="51">
      <c r="A35" s="54" t="s">
        <v>96</v>
      </c>
      <c r="B35" s="56" t="s">
        <v>139</v>
      </c>
      <c r="C35" s="56" t="s">
        <v>140</v>
      </c>
      <c r="D35" s="162" t="s">
        <v>141</v>
      </c>
      <c r="E35" s="163"/>
      <c r="F35" s="163"/>
      <c r="G35" s="163"/>
      <c r="H35" s="56"/>
      <c r="I35" s="84"/>
      <c r="J35" s="56" t="s">
        <v>64</v>
      </c>
      <c r="K35" s="56"/>
    </row>
    <row r="36" spans="1:11" ht="63.75">
      <c r="A36" s="54" t="s">
        <v>100</v>
      </c>
      <c r="B36" s="56" t="s">
        <v>142</v>
      </c>
      <c r="C36" s="56" t="s">
        <v>143</v>
      </c>
      <c r="D36" s="162" t="s">
        <v>144</v>
      </c>
      <c r="E36" s="163"/>
      <c r="F36" s="163"/>
      <c r="G36" s="163"/>
      <c r="H36" s="56"/>
      <c r="I36" s="84"/>
      <c r="J36" s="56" t="s">
        <v>64</v>
      </c>
      <c r="K36" s="56"/>
    </row>
    <row r="37" spans="1:11" ht="63.75">
      <c r="A37" s="102" t="s">
        <v>105</v>
      </c>
      <c r="B37" s="62" t="s">
        <v>145</v>
      </c>
      <c r="C37" s="62" t="s">
        <v>146</v>
      </c>
      <c r="D37" s="167" t="s">
        <v>147</v>
      </c>
      <c r="E37" s="168"/>
      <c r="F37" s="168"/>
      <c r="G37" s="168"/>
      <c r="H37" s="62"/>
      <c r="I37" s="106"/>
      <c r="J37" s="62" t="s">
        <v>64</v>
      </c>
      <c r="K37" s="62"/>
    </row>
    <row r="38" spans="1:11" ht="63.75">
      <c r="A38" s="102" t="s">
        <v>109</v>
      </c>
      <c r="B38" s="62" t="s">
        <v>148</v>
      </c>
      <c r="C38" s="62" t="s">
        <v>149</v>
      </c>
      <c r="D38" s="167" t="s">
        <v>150</v>
      </c>
      <c r="E38" s="168"/>
      <c r="F38" s="168"/>
      <c r="G38" s="168"/>
      <c r="H38" s="62"/>
      <c r="I38" s="106"/>
      <c r="J38" s="62" t="s">
        <v>64</v>
      </c>
      <c r="K38" s="62"/>
    </row>
    <row r="39" spans="1:11" ht="76.5">
      <c r="A39" s="54" t="s">
        <v>114</v>
      </c>
      <c r="B39" s="56" t="s">
        <v>151</v>
      </c>
      <c r="C39" s="56" t="s">
        <v>152</v>
      </c>
      <c r="D39" s="162" t="s">
        <v>153</v>
      </c>
      <c r="E39" s="163"/>
      <c r="F39" s="163"/>
      <c r="G39" s="163"/>
      <c r="H39" s="56"/>
      <c r="I39" s="84"/>
      <c r="J39" s="56" t="s">
        <v>64</v>
      </c>
      <c r="K39" s="56"/>
    </row>
    <row r="40" spans="1:11" ht="63.75">
      <c r="A40" s="54" t="s">
        <v>118</v>
      </c>
      <c r="B40" s="56" t="s">
        <v>154</v>
      </c>
      <c r="C40" s="56" t="s">
        <v>155</v>
      </c>
      <c r="D40" s="162" t="s">
        <v>156</v>
      </c>
      <c r="E40" s="163"/>
      <c r="F40" s="163"/>
      <c r="G40" s="163"/>
      <c r="H40" s="56"/>
      <c r="I40" s="84"/>
      <c r="J40" s="56" t="s">
        <v>64</v>
      </c>
      <c r="K40" s="56"/>
    </row>
    <row r="41" spans="1:11" ht="63.75">
      <c r="A41" s="54" t="s">
        <v>122</v>
      </c>
      <c r="B41" s="56" t="s">
        <v>154</v>
      </c>
      <c r="C41" s="56" t="s">
        <v>155</v>
      </c>
      <c r="D41" s="162" t="s">
        <v>156</v>
      </c>
      <c r="E41" s="163"/>
      <c r="F41" s="163"/>
      <c r="G41" s="163"/>
      <c r="H41" s="56"/>
      <c r="I41" s="84"/>
      <c r="J41" s="56" t="s">
        <v>64</v>
      </c>
      <c r="K41" s="56"/>
    </row>
    <row r="42" spans="1:11" ht="76.5">
      <c r="A42" s="54" t="s">
        <v>157</v>
      </c>
      <c r="B42" s="56" t="s">
        <v>158</v>
      </c>
      <c r="C42" s="56" t="s">
        <v>159</v>
      </c>
      <c r="D42" s="162" t="s">
        <v>160</v>
      </c>
      <c r="E42" s="163"/>
      <c r="F42" s="163"/>
      <c r="G42" s="163"/>
      <c r="H42" s="56"/>
      <c r="I42" s="84"/>
      <c r="J42" s="56" t="s">
        <v>64</v>
      </c>
      <c r="K42" s="56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A12" sqref="A12:K12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30" t="s">
        <v>0</v>
      </c>
      <c r="B1" s="90" t="s">
        <v>161</v>
      </c>
      <c r="C1" s="90"/>
      <c r="D1" s="90"/>
    </row>
    <row r="2" spans="1:11" ht="14.25">
      <c r="A2" s="33"/>
      <c r="B2" s="91"/>
      <c r="C2" s="91"/>
      <c r="D2" s="91"/>
    </row>
    <row r="3" spans="1:11" ht="14.25">
      <c r="A3" s="34" t="s">
        <v>57</v>
      </c>
      <c r="B3" s="134" t="s">
        <v>58</v>
      </c>
      <c r="C3" s="134"/>
      <c r="D3" s="135"/>
    </row>
    <row r="4" spans="1:11">
      <c r="A4" s="38" t="s">
        <v>59</v>
      </c>
      <c r="B4" s="137" t="s">
        <v>162</v>
      </c>
      <c r="C4" s="138"/>
      <c r="D4" s="139"/>
    </row>
    <row r="5" spans="1:11" ht="25.5">
      <c r="A5" s="38" t="s">
        <v>61</v>
      </c>
      <c r="B5" s="140" t="s">
        <v>62</v>
      </c>
      <c r="C5" s="141"/>
      <c r="D5" s="142"/>
    </row>
    <row r="6" spans="1:11" ht="14.25">
      <c r="A6" s="41" t="s">
        <v>63</v>
      </c>
      <c r="B6" s="42">
        <v>0</v>
      </c>
      <c r="C6" s="43" t="s">
        <v>64</v>
      </c>
      <c r="D6" s="44">
        <v>10</v>
      </c>
    </row>
    <row r="7" spans="1:11" ht="14.25">
      <c r="A7" s="45" t="s">
        <v>65</v>
      </c>
      <c r="B7" s="46">
        <v>0</v>
      </c>
      <c r="C7" s="47" t="s">
        <v>66</v>
      </c>
      <c r="D7" s="48">
        <v>10</v>
      </c>
    </row>
    <row r="9" spans="1:1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</row>
    <row r="10" spans="1:1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</row>
    <row r="11" spans="1:1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1">
      <c r="A12" s="147" t="s">
        <v>163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1" ht="90" customHeight="1">
      <c r="A13" s="54" t="s">
        <v>76</v>
      </c>
      <c r="B13" s="92" t="s">
        <v>164</v>
      </c>
      <c r="C13" s="56" t="s">
        <v>165</v>
      </c>
      <c r="D13" s="150" t="s">
        <v>166</v>
      </c>
      <c r="E13" s="151"/>
      <c r="F13" s="151"/>
      <c r="G13" s="152"/>
      <c r="H13" s="58"/>
      <c r="I13" s="60"/>
      <c r="J13" s="56" t="s">
        <v>64</v>
      </c>
      <c r="K13" s="56"/>
    </row>
    <row r="14" spans="1:11" ht="93" customHeight="1">
      <c r="A14" s="54" t="s">
        <v>81</v>
      </c>
      <c r="B14" s="56" t="s">
        <v>167</v>
      </c>
      <c r="C14" s="56" t="s">
        <v>168</v>
      </c>
      <c r="D14" s="150" t="s">
        <v>169</v>
      </c>
      <c r="E14" s="151"/>
      <c r="F14" s="151"/>
      <c r="G14" s="152"/>
      <c r="H14" s="58"/>
      <c r="I14" s="60"/>
      <c r="J14" s="56" t="s">
        <v>64</v>
      </c>
      <c r="K14" s="56"/>
    </row>
    <row r="15" spans="1:11" ht="63.95" customHeight="1">
      <c r="A15" s="54" t="s">
        <v>86</v>
      </c>
      <c r="B15" s="56" t="s">
        <v>170</v>
      </c>
      <c r="C15" s="56" t="s">
        <v>171</v>
      </c>
      <c r="D15" s="150" t="s">
        <v>172</v>
      </c>
      <c r="E15" s="151"/>
      <c r="F15" s="151"/>
      <c r="G15" s="152"/>
      <c r="H15" s="58"/>
      <c r="I15" s="60"/>
      <c r="J15" s="56" t="s">
        <v>64</v>
      </c>
      <c r="K15" s="56"/>
    </row>
    <row r="16" spans="1:11" ht="38.25">
      <c r="A16" s="54" t="s">
        <v>91</v>
      </c>
      <c r="B16" s="56" t="s">
        <v>173</v>
      </c>
      <c r="C16" s="56" t="s">
        <v>174</v>
      </c>
      <c r="D16" s="150" t="s">
        <v>175</v>
      </c>
      <c r="E16" s="151"/>
      <c r="F16" s="151"/>
      <c r="G16" s="152"/>
      <c r="H16" s="58"/>
      <c r="I16" s="60"/>
      <c r="J16" s="56" t="s">
        <v>64</v>
      </c>
      <c r="K16" s="56"/>
    </row>
    <row r="17" spans="1:11" ht="38.25">
      <c r="A17" s="54" t="s">
        <v>96</v>
      </c>
      <c r="B17" s="56" t="s">
        <v>176</v>
      </c>
      <c r="C17" s="56" t="s">
        <v>177</v>
      </c>
      <c r="D17" s="150" t="s">
        <v>178</v>
      </c>
      <c r="E17" s="151"/>
      <c r="F17" s="151"/>
      <c r="G17" s="152"/>
      <c r="H17" s="58"/>
      <c r="I17" s="60"/>
      <c r="J17" s="56" t="s">
        <v>64</v>
      </c>
      <c r="K17" s="56"/>
    </row>
    <row r="18" spans="1:11" ht="75.95" customHeight="1">
      <c r="A18" s="54" t="s">
        <v>100</v>
      </c>
      <c r="B18" s="56" t="s">
        <v>179</v>
      </c>
      <c r="C18" s="56" t="s">
        <v>180</v>
      </c>
      <c r="D18" s="150" t="s">
        <v>181</v>
      </c>
      <c r="E18" s="151"/>
      <c r="F18" s="151"/>
      <c r="G18" s="152"/>
      <c r="H18" s="58"/>
      <c r="I18" s="60"/>
      <c r="J18" s="56" t="s">
        <v>64</v>
      </c>
      <c r="K18" s="56"/>
    </row>
    <row r="19" spans="1:11" ht="72" customHeight="1">
      <c r="A19" s="54" t="s">
        <v>105</v>
      </c>
      <c r="B19" s="56" t="s">
        <v>182</v>
      </c>
      <c r="C19" s="56" t="s">
        <v>183</v>
      </c>
      <c r="D19" s="150" t="s">
        <v>184</v>
      </c>
      <c r="E19" s="151"/>
      <c r="F19" s="151"/>
      <c r="G19" s="152"/>
      <c r="H19" s="58"/>
      <c r="I19" s="60"/>
      <c r="J19" s="56" t="s">
        <v>64</v>
      </c>
      <c r="K19" s="56"/>
    </row>
    <row r="20" spans="1:11">
      <c r="A20" s="147" t="s">
        <v>185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9"/>
    </row>
    <row r="21" spans="1:11" ht="41.1" customHeight="1">
      <c r="A21" s="54" t="s">
        <v>109</v>
      </c>
      <c r="B21" s="93" t="s">
        <v>186</v>
      </c>
      <c r="C21" s="56" t="s">
        <v>187</v>
      </c>
      <c r="D21" s="150" t="s">
        <v>188</v>
      </c>
      <c r="E21" s="151"/>
      <c r="F21" s="151"/>
      <c r="G21" s="152"/>
      <c r="H21" s="58"/>
      <c r="I21" s="60"/>
      <c r="J21" s="56" t="s">
        <v>64</v>
      </c>
      <c r="K21" s="56"/>
    </row>
    <row r="22" spans="1:11" ht="41.1" customHeight="1">
      <c r="A22" s="54" t="s">
        <v>114</v>
      </c>
      <c r="B22" s="93" t="s">
        <v>189</v>
      </c>
      <c r="C22" s="56" t="s">
        <v>190</v>
      </c>
      <c r="D22" s="150" t="s">
        <v>191</v>
      </c>
      <c r="E22" s="151"/>
      <c r="F22" s="151"/>
      <c r="G22" s="152"/>
      <c r="H22" s="58"/>
      <c r="I22" s="60"/>
      <c r="J22" s="56" t="s">
        <v>64</v>
      </c>
      <c r="K22" s="56"/>
    </row>
    <row r="23" spans="1:11" ht="41.1" customHeight="1">
      <c r="A23" s="54" t="s">
        <v>118</v>
      </c>
      <c r="B23" s="93" t="s">
        <v>192</v>
      </c>
      <c r="C23" s="56" t="s">
        <v>193</v>
      </c>
      <c r="D23" s="150" t="s">
        <v>194</v>
      </c>
      <c r="E23" s="151"/>
      <c r="F23" s="151"/>
      <c r="G23" s="152"/>
      <c r="H23" s="58"/>
      <c r="I23" s="60"/>
      <c r="J23" s="56" t="s">
        <v>64</v>
      </c>
      <c r="K23" s="56"/>
    </row>
    <row r="24" spans="1:11">
      <c r="A24" s="181"/>
      <c r="B24" s="181"/>
      <c r="C24" s="181"/>
      <c r="D24" s="181"/>
      <c r="E24" s="181"/>
      <c r="F24" s="181"/>
      <c r="G24" s="181"/>
      <c r="H24" s="181"/>
      <c r="I24" s="181"/>
      <c r="J24" s="181"/>
      <c r="K24" s="181"/>
    </row>
    <row r="25" spans="1:11" ht="35.1" customHeight="1">
      <c r="A25" s="94"/>
      <c r="B25" s="95"/>
      <c r="C25" s="96"/>
      <c r="D25" s="182"/>
      <c r="E25" s="183"/>
      <c r="F25" s="183"/>
      <c r="G25" s="183"/>
      <c r="H25" s="96"/>
      <c r="I25" s="97"/>
      <c r="J25" s="96"/>
      <c r="K25" s="96"/>
    </row>
    <row r="26" spans="1:11" ht="36.950000000000003" customHeight="1">
      <c r="A26" s="94"/>
      <c r="B26" s="95"/>
      <c r="C26" s="96"/>
      <c r="D26" s="182"/>
      <c r="E26" s="183"/>
      <c r="F26" s="183"/>
      <c r="G26" s="183"/>
      <c r="H26" s="96"/>
      <c r="I26" s="97"/>
      <c r="J26" s="96"/>
      <c r="K26" s="96"/>
    </row>
    <row r="27" spans="1:11" ht="48" customHeight="1">
      <c r="A27" s="94"/>
      <c r="B27" s="95"/>
      <c r="C27" s="96"/>
      <c r="D27" s="182"/>
      <c r="E27" s="183"/>
      <c r="F27" s="183"/>
      <c r="G27" s="183"/>
      <c r="H27" s="96"/>
      <c r="I27" s="97"/>
      <c r="J27" s="96"/>
      <c r="K27" s="96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L14" sqref="L14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30" t="s">
        <v>0</v>
      </c>
      <c r="B1" s="90" t="s">
        <v>195</v>
      </c>
      <c r="C1" s="90"/>
      <c r="D1" s="90"/>
    </row>
    <row r="2" spans="1:11" ht="14.25">
      <c r="A2" s="33"/>
      <c r="B2" s="91"/>
      <c r="C2" s="91"/>
      <c r="D2" s="91"/>
    </row>
    <row r="3" spans="1:11" ht="14.25">
      <c r="A3" s="34" t="s">
        <v>57</v>
      </c>
      <c r="B3" s="134" t="s">
        <v>58</v>
      </c>
      <c r="C3" s="134"/>
      <c r="D3" s="135"/>
    </row>
    <row r="4" spans="1:11">
      <c r="A4" s="38" t="s">
        <v>59</v>
      </c>
      <c r="B4" s="137" t="s">
        <v>196</v>
      </c>
      <c r="C4" s="138"/>
      <c r="D4" s="139"/>
    </row>
    <row r="5" spans="1:11">
      <c r="A5" s="38" t="s">
        <v>61</v>
      </c>
      <c r="B5" s="140" t="s">
        <v>62</v>
      </c>
      <c r="C5" s="141"/>
      <c r="D5" s="142"/>
    </row>
    <row r="6" spans="1:11" ht="14.25">
      <c r="A6" s="41" t="s">
        <v>63</v>
      </c>
      <c r="B6" s="42">
        <v>0</v>
      </c>
      <c r="C6" s="43" t="s">
        <v>64</v>
      </c>
      <c r="D6" s="44">
        <v>6</v>
      </c>
    </row>
    <row r="7" spans="1:11" ht="14.25">
      <c r="A7" s="45" t="s">
        <v>65</v>
      </c>
      <c r="B7" s="46">
        <v>0</v>
      </c>
      <c r="C7" s="47" t="s">
        <v>66</v>
      </c>
      <c r="D7" s="48">
        <v>6</v>
      </c>
    </row>
    <row r="9" spans="1:1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</row>
    <row r="10" spans="1:1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</row>
    <row r="11" spans="1:1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1">
      <c r="A12" s="147" t="s">
        <v>197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1" ht="93" customHeight="1">
      <c r="A13" s="54" t="s">
        <v>76</v>
      </c>
      <c r="B13" s="56" t="s">
        <v>198</v>
      </c>
      <c r="C13" s="56" t="s">
        <v>199</v>
      </c>
      <c r="D13" s="150" t="s">
        <v>200</v>
      </c>
      <c r="E13" s="151"/>
      <c r="F13" s="151"/>
      <c r="G13" s="152"/>
      <c r="H13" s="58"/>
      <c r="I13" s="60"/>
      <c r="J13" s="56" t="s">
        <v>64</v>
      </c>
      <c r="K13" s="56"/>
    </row>
    <row r="14" spans="1:11" ht="36.950000000000003" customHeight="1">
      <c r="A14" s="54" t="s">
        <v>81</v>
      </c>
      <c r="B14" s="56" t="s">
        <v>201</v>
      </c>
      <c r="C14" s="56" t="s">
        <v>202</v>
      </c>
      <c r="D14" s="150" t="s">
        <v>203</v>
      </c>
      <c r="E14" s="151"/>
      <c r="F14" s="151"/>
      <c r="G14" s="152"/>
      <c r="H14" s="58"/>
      <c r="I14" s="60"/>
      <c r="J14" s="56" t="s">
        <v>64</v>
      </c>
      <c r="K14" s="56"/>
    </row>
    <row r="15" spans="1:11" ht="63.75">
      <c r="A15" s="54" t="s">
        <v>86</v>
      </c>
      <c r="B15" s="56" t="s">
        <v>204</v>
      </c>
      <c r="C15" s="56" t="s">
        <v>205</v>
      </c>
      <c r="D15" s="150" t="s">
        <v>206</v>
      </c>
      <c r="E15" s="151"/>
      <c r="F15" s="151"/>
      <c r="G15" s="152"/>
      <c r="H15" s="58"/>
      <c r="I15" s="60"/>
      <c r="J15" s="56" t="s">
        <v>64</v>
      </c>
      <c r="K15" s="56"/>
    </row>
    <row r="16" spans="1:11" ht="51">
      <c r="A16" s="54" t="s">
        <v>91</v>
      </c>
      <c r="B16" s="56" t="s">
        <v>207</v>
      </c>
      <c r="C16" s="56" t="s">
        <v>208</v>
      </c>
      <c r="D16" s="150" t="s">
        <v>209</v>
      </c>
      <c r="E16" s="151"/>
      <c r="F16" s="151"/>
      <c r="G16" s="152"/>
      <c r="H16" s="58"/>
      <c r="I16" s="60"/>
      <c r="J16" s="56" t="s">
        <v>64</v>
      </c>
      <c r="K16" s="56"/>
    </row>
    <row r="17" spans="1:11" ht="51">
      <c r="A17" s="54" t="s">
        <v>96</v>
      </c>
      <c r="B17" s="56" t="s">
        <v>210</v>
      </c>
      <c r="C17" s="56" t="s">
        <v>211</v>
      </c>
      <c r="D17" s="150" t="s">
        <v>212</v>
      </c>
      <c r="E17" s="151"/>
      <c r="F17" s="151"/>
      <c r="G17" s="152"/>
      <c r="H17" s="58"/>
      <c r="I17" s="60"/>
      <c r="J17" s="56" t="s">
        <v>64</v>
      </c>
      <c r="K17" s="56"/>
    </row>
    <row r="18" spans="1:11" ht="60" customHeight="1">
      <c r="A18" s="54" t="s">
        <v>100</v>
      </c>
      <c r="B18" s="56" t="s">
        <v>213</v>
      </c>
      <c r="C18" s="56" t="s">
        <v>214</v>
      </c>
      <c r="D18" s="150" t="s">
        <v>215</v>
      </c>
      <c r="E18" s="151"/>
      <c r="F18" s="151"/>
      <c r="G18" s="152"/>
      <c r="H18" s="58"/>
      <c r="I18" s="60"/>
      <c r="J18" s="56" t="s">
        <v>64</v>
      </c>
      <c r="K18" s="56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="115" zoomScaleNormal="115" workbookViewId="0">
      <selection activeCell="G13" sqref="G13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30" t="s">
        <v>0</v>
      </c>
      <c r="B1" s="32" t="s">
        <v>216</v>
      </c>
      <c r="C1" s="31"/>
      <c r="D1" s="31"/>
      <c r="E1" s="31"/>
      <c r="F1" s="31"/>
      <c r="G1" s="31"/>
      <c r="H1" s="31"/>
      <c r="I1" s="31"/>
      <c r="J1" s="32"/>
      <c r="K1" s="31"/>
    </row>
    <row r="2" spans="1:11" ht="14.25">
      <c r="A2" s="33"/>
      <c r="B2" s="64"/>
      <c r="C2" s="64"/>
      <c r="D2" s="64"/>
      <c r="E2" s="31"/>
      <c r="F2" s="31"/>
      <c r="G2" s="31"/>
      <c r="H2" s="31"/>
      <c r="I2" s="31"/>
      <c r="J2" s="32"/>
      <c r="K2" s="31"/>
    </row>
    <row r="3" spans="1:11" ht="14.25">
      <c r="A3" s="65" t="s">
        <v>57</v>
      </c>
      <c r="B3" s="134" t="s">
        <v>58</v>
      </c>
      <c r="C3" s="134"/>
      <c r="D3" s="135"/>
      <c r="E3" s="35"/>
      <c r="F3" s="35"/>
      <c r="G3" s="35"/>
      <c r="H3" s="35"/>
      <c r="I3" s="136"/>
      <c r="J3" s="136"/>
      <c r="K3" s="136"/>
    </row>
    <row r="4" spans="1:11" ht="14.25">
      <c r="A4" s="38" t="s">
        <v>59</v>
      </c>
      <c r="B4" s="137" t="s">
        <v>217</v>
      </c>
      <c r="C4" s="138"/>
      <c r="D4" s="139"/>
      <c r="E4" s="35"/>
      <c r="F4" s="35"/>
      <c r="G4" s="35"/>
      <c r="H4" s="35"/>
      <c r="I4" s="136"/>
      <c r="J4" s="136"/>
      <c r="K4" s="136"/>
    </row>
    <row r="5" spans="1:11">
      <c r="A5" s="66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</row>
    <row r="6" spans="1:11" ht="14.25">
      <c r="A6" s="41" t="s">
        <v>63</v>
      </c>
      <c r="B6" s="42">
        <f>COUNTIF(J12:J23,"Pass")</f>
        <v>0</v>
      </c>
      <c r="C6" s="43" t="s">
        <v>64</v>
      </c>
      <c r="D6" s="44">
        <f>COUNTIF(J10:J741,"Pending")</f>
        <v>12</v>
      </c>
      <c r="E6" s="36"/>
      <c r="F6" s="36"/>
      <c r="G6" s="36"/>
      <c r="H6" s="36"/>
      <c r="I6" s="136"/>
      <c r="J6" s="136"/>
      <c r="K6" s="136"/>
    </row>
    <row r="7" spans="1:11" ht="14.25">
      <c r="A7" s="45" t="s">
        <v>65</v>
      </c>
      <c r="B7" s="46">
        <f>COUNTIF(J12:J23,"Fail")</f>
        <v>0</v>
      </c>
      <c r="C7" s="47" t="s">
        <v>66</v>
      </c>
      <c r="D7" s="48">
        <f>COUNTA(A12:A27)-4</f>
        <v>12</v>
      </c>
      <c r="E7" s="49"/>
      <c r="F7" s="49"/>
      <c r="G7" s="49"/>
      <c r="H7" s="49"/>
      <c r="I7" s="136"/>
      <c r="J7" s="136"/>
      <c r="K7" s="136"/>
    </row>
    <row r="8" spans="1:11" ht="14.25">
      <c r="A8" s="144"/>
      <c r="B8" s="144"/>
      <c r="C8" s="144"/>
      <c r="D8" s="144"/>
      <c r="E8" s="36"/>
      <c r="F8" s="36"/>
      <c r="G8" s="36"/>
      <c r="H8" s="36"/>
      <c r="I8" s="36"/>
      <c r="J8" s="50"/>
      <c r="K8" s="50"/>
    </row>
    <row r="9" spans="1:11" ht="13.5" customHeight="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</row>
    <row r="10" spans="1:1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</row>
    <row r="11" spans="1:1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1" ht="16.5" customHeight="1">
      <c r="A12" s="147" t="s">
        <v>218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1" ht="54" customHeight="1">
      <c r="A13" s="54" t="s">
        <v>76</v>
      </c>
      <c r="B13" s="55" t="s">
        <v>219</v>
      </c>
      <c r="C13" s="56" t="s">
        <v>220</v>
      </c>
      <c r="D13" s="184" t="s">
        <v>221</v>
      </c>
      <c r="E13" s="185"/>
      <c r="F13" s="185"/>
      <c r="G13" s="83"/>
      <c r="H13" s="58"/>
      <c r="I13" s="60"/>
      <c r="J13" s="56" t="s">
        <v>64</v>
      </c>
      <c r="K13" s="56"/>
    </row>
    <row r="14" spans="1:11" ht="54.75" customHeight="1">
      <c r="A14" s="54" t="s">
        <v>81</v>
      </c>
      <c r="B14" s="55" t="s">
        <v>222</v>
      </c>
      <c r="C14" s="56" t="s">
        <v>223</v>
      </c>
      <c r="D14" s="158" t="s">
        <v>224</v>
      </c>
      <c r="E14" s="151"/>
      <c r="F14" s="151"/>
      <c r="G14" s="83"/>
      <c r="H14" s="58"/>
      <c r="I14" s="60"/>
      <c r="J14" s="56" t="s">
        <v>64</v>
      </c>
      <c r="K14" s="56"/>
    </row>
    <row r="15" spans="1:11" ht="87.95" customHeight="1">
      <c r="A15" s="54" t="s">
        <v>86</v>
      </c>
      <c r="B15" s="55" t="s">
        <v>225</v>
      </c>
      <c r="C15" s="57" t="s">
        <v>226</v>
      </c>
      <c r="D15" s="158" t="s">
        <v>227</v>
      </c>
      <c r="E15" s="151"/>
      <c r="F15" s="151"/>
      <c r="G15" s="59"/>
      <c r="H15" s="59"/>
      <c r="I15" s="84"/>
      <c r="J15" s="56" t="s">
        <v>64</v>
      </c>
      <c r="K15" s="56"/>
    </row>
    <row r="16" spans="1:11" ht="18" customHeight="1">
      <c r="A16" s="147" t="s">
        <v>228</v>
      </c>
      <c r="B16" s="148"/>
      <c r="C16" s="148"/>
      <c r="D16" s="85"/>
      <c r="E16" s="85"/>
      <c r="F16" s="85"/>
      <c r="G16" s="85"/>
      <c r="H16" s="52"/>
      <c r="I16" s="52"/>
      <c r="J16" s="52"/>
      <c r="K16" s="53"/>
    </row>
    <row r="17" spans="1:11" ht="78" customHeight="1">
      <c r="A17" s="54" t="s">
        <v>91</v>
      </c>
      <c r="B17" s="86" t="s">
        <v>229</v>
      </c>
      <c r="C17" s="62" t="s">
        <v>230</v>
      </c>
      <c r="D17" s="184" t="s">
        <v>231</v>
      </c>
      <c r="E17" s="185"/>
      <c r="F17" s="185"/>
      <c r="G17" s="83"/>
      <c r="H17" s="58"/>
      <c r="I17" s="57"/>
      <c r="J17" s="56" t="s">
        <v>64</v>
      </c>
      <c r="K17" s="56"/>
    </row>
    <row r="18" spans="1:11" ht="79.5" customHeight="1">
      <c r="A18" s="54" t="s">
        <v>96</v>
      </c>
      <c r="B18" s="82" t="s">
        <v>232</v>
      </c>
      <c r="C18" s="57" t="s">
        <v>233</v>
      </c>
      <c r="D18" s="158" t="s">
        <v>234</v>
      </c>
      <c r="E18" s="151"/>
      <c r="F18" s="151"/>
      <c r="G18" s="59"/>
      <c r="H18" s="59"/>
      <c r="I18" s="56"/>
      <c r="J18" s="56" t="s">
        <v>64</v>
      </c>
      <c r="K18" s="56"/>
    </row>
    <row r="19" spans="1:11" ht="78.75" customHeight="1">
      <c r="A19" s="54" t="s">
        <v>100</v>
      </c>
      <c r="B19" s="82" t="s">
        <v>235</v>
      </c>
      <c r="C19" s="57" t="s">
        <v>236</v>
      </c>
      <c r="D19" s="158" t="s">
        <v>234</v>
      </c>
      <c r="E19" s="151"/>
      <c r="F19" s="151"/>
      <c r="G19" s="59"/>
      <c r="H19" s="59"/>
      <c r="I19" s="56"/>
      <c r="J19" s="56" t="s">
        <v>64</v>
      </c>
      <c r="K19" s="56"/>
    </row>
    <row r="20" spans="1:11" ht="19.5" customHeight="1">
      <c r="A20" s="147" t="s">
        <v>237</v>
      </c>
      <c r="B20" s="148"/>
      <c r="C20" s="148"/>
      <c r="D20" s="85"/>
      <c r="E20" s="85"/>
      <c r="F20" s="85"/>
      <c r="G20" s="85"/>
      <c r="H20" s="52"/>
      <c r="I20" s="52"/>
      <c r="J20" s="52"/>
      <c r="K20" s="53"/>
    </row>
    <row r="21" spans="1:11" ht="66" customHeight="1">
      <c r="A21" s="54" t="s">
        <v>105</v>
      </c>
      <c r="B21" s="62" t="s">
        <v>238</v>
      </c>
      <c r="C21" s="62" t="s">
        <v>239</v>
      </c>
      <c r="D21" s="158" t="s">
        <v>240</v>
      </c>
      <c r="E21" s="151"/>
      <c r="F21" s="151"/>
      <c r="G21" s="59"/>
      <c r="H21" s="58"/>
      <c r="I21" s="57"/>
      <c r="J21" s="56" t="s">
        <v>64</v>
      </c>
      <c r="K21" s="56"/>
    </row>
    <row r="22" spans="1:11" ht="66.75" customHeight="1">
      <c r="A22" s="54" t="s">
        <v>109</v>
      </c>
      <c r="B22" s="56" t="s">
        <v>241</v>
      </c>
      <c r="C22" s="56" t="s">
        <v>242</v>
      </c>
      <c r="D22" s="158" t="s">
        <v>243</v>
      </c>
      <c r="E22" s="151"/>
      <c r="F22" s="151"/>
      <c r="G22" s="59"/>
      <c r="H22" s="56"/>
      <c r="I22" s="56"/>
      <c r="J22" s="56" t="s">
        <v>64</v>
      </c>
      <c r="K22" s="56"/>
    </row>
    <row r="23" spans="1:11" ht="65.25" customHeight="1">
      <c r="A23" s="54" t="s">
        <v>114</v>
      </c>
      <c r="B23" s="56" t="s">
        <v>244</v>
      </c>
      <c r="C23" s="56" t="s">
        <v>245</v>
      </c>
      <c r="D23" s="184" t="s">
        <v>243</v>
      </c>
      <c r="E23" s="185"/>
      <c r="F23" s="185"/>
      <c r="G23" s="83"/>
      <c r="H23" s="62"/>
      <c r="I23" s="62"/>
      <c r="J23" s="62" t="s">
        <v>64</v>
      </c>
      <c r="K23" s="62"/>
    </row>
    <row r="24" spans="1:11" ht="18" customHeight="1">
      <c r="A24" s="147" t="s">
        <v>246</v>
      </c>
      <c r="B24" s="148"/>
      <c r="C24" s="148"/>
      <c r="D24" s="186"/>
      <c r="E24" s="186"/>
      <c r="F24" s="186"/>
      <c r="G24" s="52"/>
      <c r="H24" s="52"/>
      <c r="I24" s="52"/>
      <c r="J24" s="52"/>
      <c r="K24" s="53"/>
    </row>
    <row r="25" spans="1:11" ht="79.5" customHeight="1">
      <c r="A25" s="87" t="s">
        <v>118</v>
      </c>
      <c r="B25" s="56" t="s">
        <v>247</v>
      </c>
      <c r="C25" s="56" t="s">
        <v>248</v>
      </c>
      <c r="D25" s="184" t="s">
        <v>249</v>
      </c>
      <c r="E25" s="185"/>
      <c r="F25" s="185"/>
      <c r="G25" s="83"/>
      <c r="H25" s="62"/>
      <c r="I25" s="62"/>
      <c r="J25" s="62" t="s">
        <v>64</v>
      </c>
      <c r="K25" s="62"/>
    </row>
    <row r="26" spans="1:11" ht="81.75" customHeight="1">
      <c r="A26" s="87" t="s">
        <v>122</v>
      </c>
      <c r="B26" s="56" t="s">
        <v>250</v>
      </c>
      <c r="C26" s="56" t="s">
        <v>251</v>
      </c>
      <c r="D26" s="163" t="s">
        <v>252</v>
      </c>
      <c r="E26" s="163"/>
      <c r="F26" s="158"/>
      <c r="G26" s="59"/>
      <c r="H26" s="59"/>
      <c r="I26" s="56"/>
      <c r="J26" s="56" t="s">
        <v>64</v>
      </c>
      <c r="K26" s="56"/>
    </row>
    <row r="27" spans="1:11" ht="42" customHeight="1">
      <c r="A27" s="87" t="s">
        <v>157</v>
      </c>
      <c r="B27" s="56" t="s">
        <v>253</v>
      </c>
      <c r="C27" s="56" t="s">
        <v>254</v>
      </c>
      <c r="D27" s="163" t="s">
        <v>255</v>
      </c>
      <c r="E27" s="163"/>
      <c r="F27" s="158"/>
      <c r="G27" s="59"/>
      <c r="H27" s="56"/>
      <c r="I27" s="56"/>
      <c r="J27" s="56" t="s">
        <v>64</v>
      </c>
      <c r="K27" s="56"/>
    </row>
    <row r="28" spans="1:11">
      <c r="A28" s="88"/>
    </row>
    <row r="29" spans="1:11">
      <c r="A29" s="88"/>
    </row>
    <row r="31" spans="1:11">
      <c r="A31" s="88"/>
      <c r="C31" s="89"/>
    </row>
    <row r="32" spans="1:11">
      <c r="A32" s="88"/>
    </row>
    <row r="34" spans="1:1">
      <c r="A34" s="88"/>
    </row>
    <row r="35" spans="1:1">
      <c r="A35" s="88"/>
    </row>
    <row r="37" spans="1:1">
      <c r="A37" s="88"/>
    </row>
    <row r="38" spans="1:1">
      <c r="A38" s="88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topLeftCell="A26" workbookViewId="0">
      <selection activeCell="B5" sqref="B5:D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6"/>
    <col min="11" max="11" width="18" customWidth="1"/>
  </cols>
  <sheetData>
    <row r="1" spans="1:12" s="24" customFormat="1" ht="12.75" customHeight="1">
      <c r="A1" s="30" t="s">
        <v>0</v>
      </c>
      <c r="B1" s="32" t="s">
        <v>216</v>
      </c>
      <c r="C1" s="31"/>
      <c r="D1" s="31"/>
      <c r="E1" s="31"/>
      <c r="F1" s="31"/>
      <c r="G1" s="31"/>
      <c r="H1" s="31"/>
      <c r="I1" s="31"/>
      <c r="J1" s="32"/>
      <c r="K1" s="31"/>
      <c r="L1" s="33"/>
    </row>
    <row r="2" spans="1:12" s="24" customFormat="1" ht="11.25" customHeight="1">
      <c r="A2" s="33"/>
      <c r="B2" s="64"/>
      <c r="C2" s="64"/>
      <c r="D2" s="64"/>
      <c r="E2" s="31"/>
      <c r="F2" s="31"/>
      <c r="G2" s="31"/>
      <c r="H2" s="31"/>
      <c r="I2" s="31"/>
      <c r="J2" s="32"/>
      <c r="K2" s="31"/>
      <c r="L2" s="33"/>
    </row>
    <row r="3" spans="1:12" s="25" customFormat="1" ht="15" customHeight="1">
      <c r="A3" s="65" t="s">
        <v>57</v>
      </c>
      <c r="B3" s="134" t="s">
        <v>58</v>
      </c>
      <c r="C3" s="134"/>
      <c r="D3" s="135"/>
      <c r="E3" s="35"/>
      <c r="F3" s="35"/>
      <c r="G3" s="35"/>
      <c r="H3" s="35"/>
      <c r="I3" s="136"/>
      <c r="J3" s="136"/>
      <c r="K3" s="136"/>
      <c r="L3" s="37"/>
    </row>
    <row r="4" spans="1:12" s="25" customFormat="1" ht="13.15" customHeight="1">
      <c r="A4" s="38" t="s">
        <v>59</v>
      </c>
      <c r="B4" s="137" t="s">
        <v>256</v>
      </c>
      <c r="C4" s="138"/>
      <c r="D4" s="139"/>
      <c r="E4" s="35"/>
      <c r="F4" s="35"/>
      <c r="G4" s="35"/>
      <c r="H4" s="35"/>
      <c r="I4" s="136"/>
      <c r="J4" s="136"/>
      <c r="K4" s="136"/>
      <c r="L4" s="37"/>
    </row>
    <row r="5" spans="1:12" s="26" customFormat="1" ht="12.75">
      <c r="A5" s="66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  <c r="L5" s="40"/>
    </row>
    <row r="6" spans="1:12" s="25" customFormat="1" ht="15" customHeight="1">
      <c r="A6" s="41" t="s">
        <v>63</v>
      </c>
      <c r="B6" s="42">
        <f>COUNTIF(J12:J23,"Pass")</f>
        <v>0</v>
      </c>
      <c r="C6" s="43" t="s">
        <v>64</v>
      </c>
      <c r="D6" s="44">
        <f>COUNTIF(J10:J741,"Pending")</f>
        <v>0</v>
      </c>
      <c r="E6" s="36"/>
      <c r="F6" s="36"/>
      <c r="G6" s="36"/>
      <c r="H6" s="36"/>
      <c r="I6" s="136"/>
      <c r="J6" s="136"/>
      <c r="K6" s="136"/>
      <c r="L6" s="37"/>
    </row>
    <row r="7" spans="1:12" s="25" customFormat="1" ht="15" customHeight="1">
      <c r="A7" s="45" t="s">
        <v>65</v>
      </c>
      <c r="B7" s="46">
        <f>COUNTIF(J12:J23,"Fail")</f>
        <v>0</v>
      </c>
      <c r="C7" s="47" t="s">
        <v>66</v>
      </c>
      <c r="D7" s="48">
        <f>COUNTA(A12:A27)-4</f>
        <v>12</v>
      </c>
      <c r="E7" s="49"/>
      <c r="F7" s="49"/>
      <c r="G7" s="49"/>
      <c r="H7" s="49"/>
      <c r="I7" s="136"/>
      <c r="J7" s="136"/>
      <c r="K7" s="136"/>
      <c r="L7" s="37"/>
    </row>
    <row r="8" spans="1:12" s="25" customFormat="1" ht="15" customHeight="1">
      <c r="A8" s="144"/>
      <c r="B8" s="144"/>
      <c r="C8" s="144"/>
      <c r="D8" s="144"/>
      <c r="E8" s="36"/>
      <c r="F8" s="36"/>
      <c r="G8" s="36"/>
      <c r="H8" s="36"/>
      <c r="I8" s="36"/>
      <c r="J8" s="50"/>
      <c r="K8" s="50"/>
      <c r="L8" s="37"/>
    </row>
    <row r="9" spans="1:12" s="27" customFormat="1" ht="12" customHeight="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  <c r="L9" s="51"/>
    </row>
    <row r="10" spans="1:12" s="25" customFormat="1" ht="12" customHeight="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  <c r="L10" s="37"/>
    </row>
    <row r="11" spans="1:12" s="28" customFormat="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29" customFormat="1" ht="24.6" customHeight="1">
      <c r="A12" s="187" t="s">
        <v>257</v>
      </c>
      <c r="B12" s="188"/>
      <c r="C12" s="188"/>
      <c r="D12" s="188"/>
      <c r="E12" s="188"/>
      <c r="F12" s="188"/>
      <c r="G12" s="188"/>
      <c r="H12" s="188"/>
      <c r="I12" s="188"/>
      <c r="J12" s="188"/>
      <c r="K12" s="189"/>
    </row>
    <row r="13" spans="1:12" s="29" customFormat="1" ht="81.599999999999994" customHeight="1" outlineLevel="1">
      <c r="A13" s="67" t="s">
        <v>76</v>
      </c>
      <c r="B13" s="68" t="s">
        <v>258</v>
      </c>
      <c r="C13" s="68" t="s">
        <v>259</v>
      </c>
      <c r="D13" s="158" t="s">
        <v>260</v>
      </c>
      <c r="E13" s="151"/>
      <c r="F13" s="151"/>
      <c r="G13" s="59"/>
      <c r="H13" s="58"/>
      <c r="I13" s="60"/>
      <c r="J13" s="56"/>
      <c r="K13" s="56"/>
    </row>
    <row r="14" spans="1:12" s="29" customFormat="1" ht="91.15" customHeight="1" outlineLevel="1">
      <c r="A14" s="69" t="s">
        <v>81</v>
      </c>
      <c r="B14" s="70" t="s">
        <v>261</v>
      </c>
      <c r="C14" s="70" t="s">
        <v>262</v>
      </c>
      <c r="D14" s="158" t="s">
        <v>263</v>
      </c>
      <c r="E14" s="151"/>
      <c r="F14" s="151"/>
      <c r="G14" s="59"/>
      <c r="H14" s="58"/>
      <c r="I14" s="57"/>
      <c r="J14" s="56"/>
      <c r="K14" s="56"/>
    </row>
    <row r="15" spans="1:12" s="29" customFormat="1" ht="70.150000000000006" customHeight="1" outlineLevel="1">
      <c r="A15" s="67" t="s">
        <v>86</v>
      </c>
      <c r="B15" s="68" t="s">
        <v>264</v>
      </c>
      <c r="C15" s="68" t="s">
        <v>265</v>
      </c>
      <c r="D15" s="158" t="s">
        <v>266</v>
      </c>
      <c r="E15" s="151"/>
      <c r="F15" s="151"/>
      <c r="G15" s="59"/>
      <c r="H15" s="58"/>
      <c r="I15" s="57"/>
      <c r="J15" s="56"/>
      <c r="K15" s="56"/>
    </row>
    <row r="16" spans="1:12" ht="70.150000000000006" customHeight="1">
      <c r="A16" s="69" t="s">
        <v>91</v>
      </c>
      <c r="B16" s="70" t="s">
        <v>267</v>
      </c>
      <c r="C16" s="70" t="s">
        <v>268</v>
      </c>
      <c r="D16" s="158" t="s">
        <v>269</v>
      </c>
      <c r="E16" s="151"/>
      <c r="F16" s="151"/>
      <c r="G16" s="59"/>
      <c r="H16" s="58"/>
      <c r="I16" s="57"/>
      <c r="J16" s="56"/>
      <c r="K16" s="56"/>
    </row>
    <row r="17" spans="1:11" ht="70.150000000000006" customHeight="1">
      <c r="A17" s="67" t="s">
        <v>96</v>
      </c>
      <c r="B17" s="68" t="s">
        <v>270</v>
      </c>
      <c r="C17" s="68" t="s">
        <v>271</v>
      </c>
      <c r="D17" s="158" t="s">
        <v>272</v>
      </c>
      <c r="E17" s="151"/>
      <c r="F17" s="151"/>
      <c r="G17" s="59"/>
      <c r="H17" s="58"/>
      <c r="I17" s="57"/>
      <c r="J17" s="56"/>
      <c r="K17" s="56"/>
    </row>
    <row r="18" spans="1:11" ht="70.150000000000006" customHeight="1">
      <c r="A18" s="69" t="s">
        <v>100</v>
      </c>
      <c r="B18" s="70" t="s">
        <v>273</v>
      </c>
      <c r="C18" s="70" t="s">
        <v>274</v>
      </c>
      <c r="D18" s="158" t="s">
        <v>275</v>
      </c>
      <c r="E18" s="151"/>
      <c r="F18" s="151"/>
      <c r="G18" s="59"/>
      <c r="H18" s="58"/>
      <c r="I18" s="60"/>
      <c r="J18" s="56"/>
      <c r="K18" s="56"/>
    </row>
    <row r="19" spans="1:11" ht="70.150000000000006" customHeight="1">
      <c r="A19" s="67" t="s">
        <v>105</v>
      </c>
      <c r="B19" s="68" t="s">
        <v>276</v>
      </c>
      <c r="C19" s="68" t="s">
        <v>277</v>
      </c>
      <c r="D19" s="158" t="s">
        <v>278</v>
      </c>
      <c r="E19" s="151"/>
      <c r="F19" s="151"/>
      <c r="G19" s="59"/>
      <c r="H19" s="58"/>
      <c r="I19" s="57"/>
      <c r="J19" s="56"/>
      <c r="K19" s="56"/>
    </row>
    <row r="20" spans="1:11" ht="70.150000000000006" customHeight="1">
      <c r="A20" s="69" t="s">
        <v>109</v>
      </c>
      <c r="B20" s="70" t="s">
        <v>279</v>
      </c>
      <c r="C20" s="70" t="s">
        <v>280</v>
      </c>
      <c r="D20" s="158" t="s">
        <v>281</v>
      </c>
      <c r="E20" s="151"/>
      <c r="F20" s="151"/>
      <c r="G20" s="59"/>
      <c r="H20" s="58"/>
      <c r="I20" s="57"/>
      <c r="J20" s="56"/>
      <c r="K20" s="56"/>
    </row>
    <row r="21" spans="1:11" ht="70.150000000000006" customHeight="1">
      <c r="A21" s="67" t="s">
        <v>114</v>
      </c>
      <c r="B21" s="68" t="s">
        <v>282</v>
      </c>
      <c r="C21" s="68" t="s">
        <v>283</v>
      </c>
      <c r="D21" s="158" t="s">
        <v>284</v>
      </c>
      <c r="E21" s="151"/>
      <c r="F21" s="151"/>
      <c r="G21" s="59"/>
      <c r="H21" s="58"/>
      <c r="I21" s="57"/>
      <c r="J21" s="56"/>
      <c r="K21" s="56"/>
    </row>
    <row r="22" spans="1:11" ht="70.150000000000006" customHeight="1">
      <c r="A22" s="69" t="s">
        <v>118</v>
      </c>
      <c r="B22" s="70" t="s">
        <v>285</v>
      </c>
      <c r="C22" s="70" t="s">
        <v>286</v>
      </c>
      <c r="D22" s="158" t="s">
        <v>287</v>
      </c>
      <c r="E22" s="151"/>
      <c r="F22" s="151"/>
      <c r="G22" s="59"/>
      <c r="H22" s="58"/>
      <c r="I22" s="57"/>
      <c r="J22" s="56"/>
      <c r="K22" s="56"/>
    </row>
    <row r="23" spans="1:11" ht="70.150000000000006" customHeight="1">
      <c r="A23" s="67" t="s">
        <v>122</v>
      </c>
      <c r="B23" s="68" t="s">
        <v>288</v>
      </c>
      <c r="C23" s="68" t="s">
        <v>289</v>
      </c>
      <c r="D23" s="158" t="s">
        <v>290</v>
      </c>
      <c r="E23" s="151"/>
      <c r="F23" s="151"/>
      <c r="G23" s="59"/>
      <c r="H23" s="58"/>
      <c r="I23" s="60"/>
      <c r="J23" s="56"/>
      <c r="K23" s="56"/>
    </row>
    <row r="24" spans="1:11" ht="70.150000000000006" customHeight="1">
      <c r="A24" s="69" t="s">
        <v>157</v>
      </c>
      <c r="B24" s="70" t="s">
        <v>291</v>
      </c>
      <c r="C24" s="70" t="s">
        <v>292</v>
      </c>
      <c r="D24" s="158" t="s">
        <v>293</v>
      </c>
      <c r="E24" s="151"/>
      <c r="F24" s="151"/>
      <c r="G24" s="59"/>
      <c r="H24" s="58"/>
      <c r="I24" s="57"/>
      <c r="J24" s="56"/>
      <c r="K24" s="56"/>
    </row>
    <row r="25" spans="1:11" ht="70.150000000000006" customHeight="1">
      <c r="A25" s="67" t="s">
        <v>294</v>
      </c>
      <c r="B25" s="68" t="s">
        <v>295</v>
      </c>
      <c r="C25" s="68" t="s">
        <v>296</v>
      </c>
      <c r="D25" s="158" t="s">
        <v>297</v>
      </c>
      <c r="E25" s="151"/>
      <c r="F25" s="151"/>
      <c r="G25" s="59"/>
      <c r="H25" s="58"/>
      <c r="I25" s="57"/>
      <c r="J25" s="56"/>
      <c r="K25" s="56"/>
    </row>
    <row r="26" spans="1:11" ht="70.150000000000006" customHeight="1">
      <c r="A26" s="69" t="s">
        <v>298</v>
      </c>
      <c r="B26" s="70" t="s">
        <v>299</v>
      </c>
      <c r="C26" s="70" t="s">
        <v>300</v>
      </c>
      <c r="D26" s="158" t="s">
        <v>301</v>
      </c>
      <c r="E26" s="151"/>
      <c r="F26" s="151"/>
      <c r="G26" s="59"/>
      <c r="H26" s="58"/>
      <c r="I26" s="57"/>
      <c r="J26" s="56"/>
      <c r="K26" s="56"/>
    </row>
    <row r="27" spans="1:11" ht="25.15" customHeight="1">
      <c r="A27" s="190" t="s">
        <v>302</v>
      </c>
      <c r="B27" s="148"/>
      <c r="C27" s="148"/>
      <c r="D27" s="148"/>
      <c r="E27" s="148"/>
      <c r="F27" s="148"/>
      <c r="G27" s="148"/>
      <c r="H27" s="148"/>
      <c r="I27" s="148"/>
      <c r="J27" s="148"/>
      <c r="K27" s="149"/>
    </row>
    <row r="28" spans="1:11" ht="70.150000000000006" customHeight="1">
      <c r="A28" s="67" t="s">
        <v>303</v>
      </c>
      <c r="B28" s="68" t="s">
        <v>304</v>
      </c>
      <c r="C28" s="68" t="s">
        <v>305</v>
      </c>
      <c r="D28" s="158" t="s">
        <v>306</v>
      </c>
      <c r="E28" s="151"/>
      <c r="F28" s="151"/>
      <c r="G28" s="59"/>
      <c r="H28" s="58"/>
      <c r="I28" s="60"/>
      <c r="J28" s="56"/>
      <c r="K28" s="56"/>
    </row>
    <row r="29" spans="1:11" ht="70.150000000000006" customHeight="1">
      <c r="A29" s="69" t="s">
        <v>307</v>
      </c>
      <c r="B29" s="70" t="s">
        <v>308</v>
      </c>
      <c r="C29" s="70" t="s">
        <v>309</v>
      </c>
      <c r="D29" s="158" t="s">
        <v>310</v>
      </c>
      <c r="E29" s="151"/>
      <c r="F29" s="151"/>
      <c r="G29" s="59"/>
      <c r="H29" s="58"/>
      <c r="I29" s="57"/>
      <c r="J29" s="56"/>
      <c r="K29" s="56"/>
    </row>
    <row r="30" spans="1:11" ht="70.150000000000006" customHeight="1">
      <c r="A30" s="67" t="s">
        <v>311</v>
      </c>
      <c r="B30" s="68" t="s">
        <v>312</v>
      </c>
      <c r="C30" s="68" t="s">
        <v>313</v>
      </c>
      <c r="D30" s="158" t="s">
        <v>314</v>
      </c>
      <c r="E30" s="151"/>
      <c r="F30" s="151"/>
      <c r="G30" s="59"/>
      <c r="H30" s="58"/>
      <c r="I30" s="57"/>
      <c r="J30" s="56"/>
      <c r="K30" s="56"/>
    </row>
    <row r="31" spans="1:11" ht="70.150000000000006" customHeight="1">
      <c r="A31" s="69" t="s">
        <v>315</v>
      </c>
      <c r="B31" s="70" t="s">
        <v>316</v>
      </c>
      <c r="C31" s="70" t="s">
        <v>317</v>
      </c>
      <c r="D31" s="158" t="s">
        <v>318</v>
      </c>
      <c r="E31" s="151"/>
      <c r="F31" s="151"/>
      <c r="G31" s="59"/>
      <c r="H31" s="58"/>
      <c r="I31" s="57"/>
      <c r="J31" s="56"/>
      <c r="K31" s="56"/>
    </row>
    <row r="32" spans="1:11" ht="70.150000000000006" customHeight="1">
      <c r="A32" s="67" t="s">
        <v>319</v>
      </c>
      <c r="B32" s="68" t="s">
        <v>320</v>
      </c>
      <c r="C32" s="68" t="s">
        <v>321</v>
      </c>
      <c r="D32" s="158" t="s">
        <v>322</v>
      </c>
      <c r="E32" s="151"/>
      <c r="F32" s="151"/>
      <c r="G32" s="59"/>
      <c r="H32" s="58"/>
      <c r="I32" s="57"/>
      <c r="J32" s="56"/>
      <c r="K32" s="56"/>
    </row>
    <row r="33" spans="1:11" ht="70.150000000000006" customHeight="1">
      <c r="A33" s="69" t="s">
        <v>323</v>
      </c>
      <c r="B33" s="70" t="s">
        <v>324</v>
      </c>
      <c r="C33" s="70" t="s">
        <v>325</v>
      </c>
      <c r="D33" s="158" t="s">
        <v>318</v>
      </c>
      <c r="E33" s="151"/>
      <c r="F33" s="151"/>
      <c r="G33" s="59"/>
      <c r="H33" s="58"/>
      <c r="I33" s="57"/>
      <c r="J33" s="56"/>
      <c r="K33" s="56"/>
    </row>
    <row r="34" spans="1:11" ht="70.150000000000006" customHeight="1">
      <c r="A34" s="67" t="s">
        <v>326</v>
      </c>
      <c r="B34" s="68" t="s">
        <v>327</v>
      </c>
      <c r="C34" s="68" t="s">
        <v>328</v>
      </c>
      <c r="D34" s="158" t="s">
        <v>329</v>
      </c>
      <c r="E34" s="151"/>
      <c r="F34" s="151"/>
      <c r="G34" s="59"/>
      <c r="H34" s="58"/>
      <c r="I34" s="57"/>
      <c r="J34" s="56"/>
      <c r="K34" s="56"/>
    </row>
    <row r="35" spans="1:11" ht="70.150000000000006" customHeight="1">
      <c r="A35" s="69" t="s">
        <v>330</v>
      </c>
      <c r="B35" s="70" t="s">
        <v>331</v>
      </c>
      <c r="C35" s="70" t="s">
        <v>332</v>
      </c>
      <c r="D35" s="158" t="s">
        <v>333</v>
      </c>
      <c r="E35" s="151"/>
      <c r="F35" s="151"/>
      <c r="G35" s="59"/>
      <c r="H35" s="58"/>
      <c r="I35" s="57"/>
      <c r="J35" s="56"/>
      <c r="K35" s="56"/>
    </row>
    <row r="36" spans="1:11" ht="28.15" customHeight="1">
      <c r="A36" s="190" t="s">
        <v>334</v>
      </c>
      <c r="B36" s="148"/>
      <c r="C36" s="148"/>
      <c r="D36" s="148"/>
      <c r="E36" s="148"/>
      <c r="F36" s="148"/>
      <c r="G36" s="148"/>
      <c r="H36" s="148"/>
      <c r="I36" s="148"/>
      <c r="J36" s="148"/>
      <c r="K36" s="149"/>
    </row>
    <row r="37" spans="1:11" ht="70.150000000000006" customHeight="1">
      <c r="A37" s="67" t="s">
        <v>335</v>
      </c>
      <c r="B37" s="68" t="s">
        <v>336</v>
      </c>
      <c r="C37" s="68" t="s">
        <v>337</v>
      </c>
      <c r="D37" s="158" t="s">
        <v>338</v>
      </c>
      <c r="E37" s="151"/>
      <c r="F37" s="151"/>
      <c r="G37" s="59"/>
      <c r="H37" s="58"/>
      <c r="I37" s="57"/>
      <c r="J37" s="56"/>
      <c r="K37" s="56"/>
    </row>
    <row r="38" spans="1:11" ht="70.150000000000006" customHeight="1">
      <c r="A38" s="69" t="s">
        <v>339</v>
      </c>
      <c r="B38" s="70" t="s">
        <v>340</v>
      </c>
      <c r="C38" s="70" t="s">
        <v>341</v>
      </c>
      <c r="D38" s="158" t="s">
        <v>342</v>
      </c>
      <c r="E38" s="151"/>
      <c r="F38" s="151"/>
      <c r="G38" s="59"/>
      <c r="H38" s="58"/>
      <c r="I38" s="57"/>
      <c r="J38" s="56"/>
      <c r="K38" s="56"/>
    </row>
    <row r="39" spans="1:11" ht="28.9" customHeight="1">
      <c r="A39" s="190" t="s">
        <v>343</v>
      </c>
      <c r="B39" s="148"/>
      <c r="C39" s="148"/>
      <c r="D39" s="148"/>
      <c r="E39" s="148"/>
      <c r="F39" s="148"/>
      <c r="G39" s="148"/>
      <c r="H39" s="148"/>
      <c r="I39" s="148"/>
      <c r="J39" s="148"/>
      <c r="K39" s="149"/>
    </row>
    <row r="40" spans="1:11" ht="70.150000000000006" customHeight="1">
      <c r="A40" s="67" t="s">
        <v>344</v>
      </c>
      <c r="B40" s="68" t="s">
        <v>345</v>
      </c>
      <c r="C40" s="68" t="s">
        <v>346</v>
      </c>
      <c r="D40" s="158" t="s">
        <v>347</v>
      </c>
      <c r="E40" s="151"/>
      <c r="F40" s="151"/>
      <c r="G40" s="59"/>
      <c r="H40" s="58"/>
      <c r="I40" s="57"/>
      <c r="J40" s="56"/>
      <c r="K40" s="56"/>
    </row>
    <row r="41" spans="1:11" ht="70.150000000000006" customHeight="1">
      <c r="A41" s="69" t="s">
        <v>348</v>
      </c>
      <c r="B41" s="70" t="s">
        <v>349</v>
      </c>
      <c r="C41" s="70" t="s">
        <v>350</v>
      </c>
      <c r="D41" s="158" t="s">
        <v>351</v>
      </c>
      <c r="E41" s="151"/>
      <c r="F41" s="151"/>
      <c r="G41" s="59"/>
      <c r="H41" s="58"/>
      <c r="I41" s="57"/>
      <c r="J41" s="56"/>
      <c r="K41" s="56"/>
    </row>
    <row r="42" spans="1:11" ht="12" customHeight="1">
      <c r="A42" s="54"/>
      <c r="B42" s="63"/>
      <c r="C42" s="56"/>
      <c r="D42" s="191"/>
      <c r="E42" s="192"/>
      <c r="F42" s="192"/>
      <c r="G42" s="59"/>
      <c r="H42" s="58"/>
      <c r="I42" s="57"/>
      <c r="J42" s="56"/>
      <c r="K42" s="56"/>
    </row>
    <row r="43" spans="1:11" ht="12" customHeight="1">
      <c r="A43" s="54"/>
      <c r="B43" s="61"/>
      <c r="C43" s="62"/>
      <c r="D43" s="191"/>
      <c r="E43" s="151"/>
      <c r="F43" s="151"/>
      <c r="G43" s="59"/>
      <c r="H43" s="58"/>
      <c r="I43" s="57"/>
      <c r="J43" s="56"/>
      <c r="K43" s="56"/>
    </row>
    <row r="44" spans="1:11" ht="12" customHeight="1">
      <c r="A44" s="54"/>
      <c r="B44" s="63"/>
      <c r="C44" s="56"/>
      <c r="D44" s="191"/>
      <c r="E44" s="192"/>
      <c r="F44" s="192"/>
      <c r="G44" s="59"/>
      <c r="H44" s="58"/>
      <c r="I44" s="57"/>
      <c r="J44" s="56"/>
      <c r="K44" s="56"/>
    </row>
    <row r="45" spans="1:11" ht="12" customHeight="1">
      <c r="A45" s="54"/>
      <c r="B45" s="61"/>
      <c r="C45" s="62"/>
      <c r="D45" s="191"/>
      <c r="E45" s="151"/>
      <c r="F45" s="151"/>
      <c r="G45" s="59"/>
      <c r="H45" s="58"/>
      <c r="I45" s="57"/>
      <c r="J45" s="56"/>
      <c r="K45" s="56"/>
    </row>
    <row r="46" spans="1:11" ht="12" customHeight="1">
      <c r="A46" s="54"/>
      <c r="B46" s="63"/>
      <c r="C46" s="56"/>
      <c r="D46" s="191"/>
      <c r="E46" s="192"/>
      <c r="F46" s="192"/>
      <c r="G46" s="59"/>
      <c r="H46" s="58"/>
      <c r="I46" s="57"/>
      <c r="J46" s="56"/>
      <c r="K46" s="56"/>
    </row>
    <row r="47" spans="1:11" ht="12" customHeight="1">
      <c r="A47" s="54"/>
      <c r="B47" s="61"/>
      <c r="C47" s="62"/>
      <c r="D47" s="191"/>
      <c r="E47" s="151"/>
      <c r="F47" s="151"/>
      <c r="G47" s="59"/>
      <c r="H47" s="58"/>
      <c r="I47" s="57"/>
      <c r="J47" s="56"/>
      <c r="K47" s="56"/>
    </row>
    <row r="48" spans="1:11" ht="12" customHeight="1">
      <c r="A48" s="54"/>
      <c r="B48" s="63"/>
      <c r="C48" s="56"/>
      <c r="D48" s="191"/>
      <c r="E48" s="192"/>
      <c r="F48" s="192"/>
      <c r="G48" s="59"/>
      <c r="H48" s="58"/>
      <c r="I48" s="57"/>
      <c r="J48" s="56"/>
      <c r="K48" s="56"/>
    </row>
    <row r="49" spans="1:11" ht="12" customHeight="1">
      <c r="A49" s="54"/>
      <c r="B49" s="61"/>
      <c r="C49" s="62"/>
      <c r="D49" s="191"/>
      <c r="E49" s="151"/>
      <c r="F49" s="151"/>
      <c r="G49" s="59"/>
      <c r="H49" s="58"/>
      <c r="I49" s="57"/>
      <c r="J49" s="56"/>
      <c r="K49" s="56"/>
    </row>
    <row r="50" spans="1:11" ht="12" customHeight="1">
      <c r="A50" s="54"/>
      <c r="B50" s="63"/>
      <c r="C50" s="56"/>
      <c r="D50" s="191"/>
      <c r="E50" s="192"/>
      <c r="F50" s="192"/>
      <c r="G50" s="59"/>
      <c r="H50" s="58"/>
      <c r="I50" s="57"/>
      <c r="J50" s="56"/>
      <c r="K50" s="56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M19" sqref="M19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6"/>
    <col min="11" max="11" width="18" customWidth="1"/>
  </cols>
  <sheetData>
    <row r="1" spans="1:12" s="24" customFormat="1" ht="12.75" customHeight="1">
      <c r="A1" s="30" t="s">
        <v>0</v>
      </c>
      <c r="B1" s="32" t="s">
        <v>216</v>
      </c>
      <c r="C1" s="31"/>
      <c r="D1" s="31"/>
      <c r="E1" s="31"/>
      <c r="F1" s="31"/>
      <c r="G1" s="31"/>
      <c r="H1" s="31"/>
      <c r="I1" s="31"/>
      <c r="J1" s="32"/>
      <c r="K1" s="31"/>
      <c r="L1" s="33"/>
    </row>
    <row r="2" spans="1:12" s="24" customFormat="1" ht="11.25" customHeight="1">
      <c r="A2" s="33"/>
      <c r="B2" s="64"/>
      <c r="C2" s="64"/>
      <c r="D2" s="64"/>
      <c r="E2" s="31"/>
      <c r="F2" s="31"/>
      <c r="G2" s="31"/>
      <c r="H2" s="31"/>
      <c r="I2" s="31"/>
      <c r="J2" s="32"/>
      <c r="K2" s="31"/>
      <c r="L2" s="33"/>
    </row>
    <row r="3" spans="1:12" s="25" customFormat="1" ht="15" customHeight="1">
      <c r="A3" s="65" t="s">
        <v>57</v>
      </c>
      <c r="B3" s="134" t="s">
        <v>58</v>
      </c>
      <c r="C3" s="134"/>
      <c r="D3" s="135"/>
      <c r="E3" s="35"/>
      <c r="F3" s="35"/>
      <c r="G3" s="35"/>
      <c r="H3" s="35"/>
      <c r="I3" s="136"/>
      <c r="J3" s="136"/>
      <c r="K3" s="136"/>
      <c r="L3" s="37"/>
    </row>
    <row r="4" spans="1:12" s="25" customFormat="1" ht="13.15" customHeight="1">
      <c r="A4" s="38" t="s">
        <v>59</v>
      </c>
      <c r="B4" s="137" t="s">
        <v>352</v>
      </c>
      <c r="C4" s="138"/>
      <c r="D4" s="139"/>
      <c r="E4" s="35"/>
      <c r="F4" s="35"/>
      <c r="G4" s="35"/>
      <c r="H4" s="35"/>
      <c r="I4" s="136"/>
      <c r="J4" s="136"/>
      <c r="K4" s="136"/>
      <c r="L4" s="37"/>
    </row>
    <row r="5" spans="1:12" s="26" customFormat="1" ht="25.5">
      <c r="A5" s="66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  <c r="L5" s="40"/>
    </row>
    <row r="6" spans="1:12" s="25" customFormat="1" ht="15" customHeight="1">
      <c r="A6" s="41" t="s">
        <v>63</v>
      </c>
      <c r="B6" s="42">
        <f>COUNTIF(J12:J23,"Pass")</f>
        <v>0</v>
      </c>
      <c r="C6" s="43" t="s">
        <v>64</v>
      </c>
      <c r="D6" s="44">
        <f>COUNTIF(J10:J741,"Pending")</f>
        <v>0</v>
      </c>
      <c r="E6" s="36"/>
      <c r="F6" s="36"/>
      <c r="G6" s="36"/>
      <c r="H6" s="36"/>
      <c r="I6" s="136"/>
      <c r="J6" s="136"/>
      <c r="K6" s="136"/>
      <c r="L6" s="37"/>
    </row>
    <row r="7" spans="1:12" s="25" customFormat="1" ht="15" customHeight="1">
      <c r="A7" s="45" t="s">
        <v>65</v>
      </c>
      <c r="B7" s="46">
        <f>COUNTIF(J12:J23,"Fail")</f>
        <v>0</v>
      </c>
      <c r="C7" s="47" t="s">
        <v>66</v>
      </c>
      <c r="D7" s="48">
        <f>COUNTA(A12:A27)-4</f>
        <v>12</v>
      </c>
      <c r="E7" s="49"/>
      <c r="F7" s="49"/>
      <c r="G7" s="49"/>
      <c r="H7" s="49"/>
      <c r="I7" s="136"/>
      <c r="J7" s="136"/>
      <c r="K7" s="136"/>
      <c r="L7" s="37"/>
    </row>
    <row r="8" spans="1:12" s="25" customFormat="1" ht="15" customHeight="1">
      <c r="A8" s="144"/>
      <c r="B8" s="144"/>
      <c r="C8" s="144"/>
      <c r="D8" s="144"/>
      <c r="E8" s="36"/>
      <c r="F8" s="36"/>
      <c r="G8" s="36"/>
      <c r="H8" s="36"/>
      <c r="I8" s="36"/>
      <c r="J8" s="50"/>
      <c r="K8" s="50"/>
      <c r="L8" s="37"/>
    </row>
    <row r="9" spans="1:12" s="27" customFormat="1" ht="12" customHeight="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  <c r="L9" s="51"/>
    </row>
    <row r="10" spans="1:12" s="25" customFormat="1" ht="12" customHeight="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  <c r="L10" s="37"/>
    </row>
    <row r="11" spans="1:12" s="28" customFormat="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29" customFormat="1" ht="22.9" customHeight="1">
      <c r="A12" s="190" t="s">
        <v>353</v>
      </c>
      <c r="B12" s="193"/>
      <c r="C12" s="193"/>
      <c r="D12" s="193"/>
      <c r="E12" s="193"/>
      <c r="F12" s="193"/>
      <c r="G12" s="193"/>
      <c r="H12" s="193"/>
      <c r="I12" s="193"/>
      <c r="J12" s="193"/>
      <c r="K12" s="194"/>
    </row>
    <row r="13" spans="1:12" s="29" customFormat="1" ht="66.599999999999994" customHeight="1" outlineLevel="1">
      <c r="A13" s="67" t="s">
        <v>76</v>
      </c>
      <c r="B13" s="68" t="s">
        <v>354</v>
      </c>
      <c r="C13" s="68" t="s">
        <v>355</v>
      </c>
      <c r="D13" s="158" t="s">
        <v>356</v>
      </c>
      <c r="E13" s="151"/>
      <c r="F13" s="151"/>
      <c r="G13" s="59"/>
      <c r="H13" s="58"/>
      <c r="I13" s="60"/>
      <c r="J13" s="56"/>
      <c r="K13" s="56"/>
    </row>
    <row r="14" spans="1:12" s="29" customFormat="1" ht="63.75" customHeight="1" outlineLevel="1">
      <c r="A14" s="69" t="s">
        <v>81</v>
      </c>
      <c r="B14" s="70" t="s">
        <v>357</v>
      </c>
      <c r="C14" s="70" t="s">
        <v>358</v>
      </c>
      <c r="D14" s="158" t="s">
        <v>359</v>
      </c>
      <c r="E14" s="151"/>
      <c r="F14" s="151"/>
      <c r="G14" s="59"/>
      <c r="H14" s="58"/>
      <c r="I14" s="57"/>
      <c r="J14" s="56"/>
      <c r="K14" s="56"/>
    </row>
    <row r="15" spans="1:12" s="29" customFormat="1" ht="70.150000000000006" customHeight="1" outlineLevel="1">
      <c r="A15" s="67" t="s">
        <v>86</v>
      </c>
      <c r="B15" s="68" t="s">
        <v>360</v>
      </c>
      <c r="C15" s="68" t="s">
        <v>361</v>
      </c>
      <c r="D15" s="158" t="s">
        <v>362</v>
      </c>
      <c r="E15" s="151"/>
      <c r="F15" s="151"/>
      <c r="G15" s="59"/>
      <c r="H15" s="58"/>
      <c r="I15" s="57"/>
      <c r="J15" s="56"/>
      <c r="K15" s="56"/>
    </row>
    <row r="16" spans="1:12" ht="27" customHeight="1">
      <c r="A16" s="190" t="s">
        <v>363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9"/>
    </row>
    <row r="17" spans="1:11" ht="70.150000000000006" customHeight="1">
      <c r="A17" s="69" t="s">
        <v>91</v>
      </c>
      <c r="B17" s="70" t="s">
        <v>364</v>
      </c>
      <c r="C17" s="70" t="s">
        <v>365</v>
      </c>
      <c r="D17" s="158" t="s">
        <v>366</v>
      </c>
      <c r="E17" s="151"/>
      <c r="F17" s="151"/>
      <c r="G17" s="59"/>
      <c r="H17" s="58"/>
      <c r="I17" s="57"/>
      <c r="J17" s="56"/>
      <c r="K17" s="56"/>
    </row>
    <row r="18" spans="1:11" ht="70.150000000000006" customHeight="1">
      <c r="A18" s="67" t="s">
        <v>96</v>
      </c>
      <c r="B18" s="68" t="s">
        <v>367</v>
      </c>
      <c r="C18" s="68" t="s">
        <v>368</v>
      </c>
      <c r="D18" s="158" t="s">
        <v>369</v>
      </c>
      <c r="E18" s="151"/>
      <c r="F18" s="151"/>
      <c r="G18" s="59"/>
      <c r="H18" s="58"/>
      <c r="I18" s="57"/>
      <c r="J18" s="56"/>
      <c r="K18" s="56"/>
    </row>
    <row r="19" spans="1:11" ht="70.150000000000006" customHeight="1">
      <c r="A19" s="69" t="s">
        <v>100</v>
      </c>
      <c r="B19" s="70" t="s">
        <v>370</v>
      </c>
      <c r="C19" s="70" t="s">
        <v>371</v>
      </c>
      <c r="D19" s="158" t="s">
        <v>372</v>
      </c>
      <c r="E19" s="151"/>
      <c r="F19" s="151"/>
      <c r="G19" s="59"/>
      <c r="H19" s="58"/>
      <c r="I19" s="57"/>
      <c r="J19" s="56"/>
      <c r="K19" s="56"/>
    </row>
    <row r="20" spans="1:11" ht="28.15" customHeight="1">
      <c r="A20" s="187" t="s">
        <v>373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9"/>
    </row>
    <row r="21" spans="1:11" ht="70.150000000000006" customHeight="1">
      <c r="A21" s="67" t="s">
        <v>105</v>
      </c>
      <c r="B21" s="68" t="s">
        <v>374</v>
      </c>
      <c r="C21" s="68" t="s">
        <v>375</v>
      </c>
      <c r="D21" s="158" t="s">
        <v>376</v>
      </c>
      <c r="E21" s="151"/>
      <c r="F21" s="151"/>
      <c r="G21" s="59"/>
      <c r="H21" s="58"/>
      <c r="I21" s="57"/>
      <c r="J21" s="56"/>
      <c r="K21" s="56"/>
    </row>
    <row r="22" spans="1:11" ht="70.150000000000006" customHeight="1">
      <c r="A22" s="69" t="s">
        <v>109</v>
      </c>
      <c r="B22" s="70" t="s">
        <v>377</v>
      </c>
      <c r="C22" s="70" t="s">
        <v>378</v>
      </c>
      <c r="D22" s="158" t="s">
        <v>379</v>
      </c>
      <c r="E22" s="151"/>
      <c r="F22" s="151"/>
      <c r="G22" s="59"/>
      <c r="H22" s="58"/>
      <c r="I22" s="57"/>
      <c r="J22" s="56"/>
      <c r="K22" s="56"/>
    </row>
    <row r="23" spans="1:11" ht="70.150000000000006" customHeight="1">
      <c r="A23" s="67" t="s">
        <v>114</v>
      </c>
      <c r="B23" s="68" t="s">
        <v>380</v>
      </c>
      <c r="C23" s="68" t="s">
        <v>381</v>
      </c>
      <c r="D23" s="158" t="s">
        <v>382</v>
      </c>
      <c r="E23" s="151"/>
      <c r="F23" s="151"/>
      <c r="G23" s="59"/>
      <c r="H23" s="58"/>
      <c r="I23" s="57"/>
      <c r="J23" s="56"/>
      <c r="K23" s="56"/>
    </row>
    <row r="24" spans="1:11" ht="70.150000000000006" customHeight="1">
      <c r="A24" s="69" t="s">
        <v>118</v>
      </c>
      <c r="B24" s="70" t="s">
        <v>383</v>
      </c>
      <c r="C24" s="70" t="s">
        <v>384</v>
      </c>
      <c r="D24" s="158" t="s">
        <v>385</v>
      </c>
      <c r="E24" s="151"/>
      <c r="F24" s="151"/>
      <c r="G24" s="59"/>
      <c r="H24" s="58"/>
      <c r="I24" s="57"/>
      <c r="J24" s="56"/>
      <c r="K24" s="56"/>
    </row>
    <row r="25" spans="1:11" ht="31.15" customHeight="1">
      <c r="A25" s="187" t="s">
        <v>386</v>
      </c>
      <c r="B25" s="188"/>
      <c r="C25" s="188"/>
      <c r="D25" s="188"/>
      <c r="E25" s="188"/>
      <c r="F25" s="188"/>
      <c r="G25" s="188"/>
      <c r="H25" s="188"/>
      <c r="I25" s="188"/>
      <c r="J25" s="188"/>
      <c r="K25" s="189"/>
    </row>
    <row r="26" spans="1:11" ht="70.150000000000006" customHeight="1">
      <c r="A26" s="67" t="s">
        <v>122</v>
      </c>
      <c r="B26" s="68" t="s">
        <v>387</v>
      </c>
      <c r="C26" s="68" t="s">
        <v>388</v>
      </c>
      <c r="D26" s="158" t="s">
        <v>389</v>
      </c>
      <c r="E26" s="151"/>
      <c r="F26" s="151"/>
      <c r="G26" s="59"/>
      <c r="H26" s="58"/>
      <c r="I26" s="57"/>
      <c r="J26" s="56"/>
      <c r="K26" s="56"/>
    </row>
    <row r="27" spans="1:11" ht="70.150000000000006" customHeight="1">
      <c r="A27" s="69" t="s">
        <v>157</v>
      </c>
      <c r="B27" s="70" t="s">
        <v>390</v>
      </c>
      <c r="C27" s="70" t="s">
        <v>391</v>
      </c>
      <c r="D27" s="158" t="s">
        <v>392</v>
      </c>
      <c r="E27" s="151"/>
      <c r="F27" s="151"/>
      <c r="G27" s="59"/>
      <c r="H27" s="58"/>
      <c r="I27" s="57"/>
      <c r="J27" s="56"/>
      <c r="K27" s="56"/>
    </row>
    <row r="28" spans="1:11" ht="70.150000000000006" customHeight="1">
      <c r="A28" s="67" t="s">
        <v>294</v>
      </c>
      <c r="B28" s="68" t="s">
        <v>393</v>
      </c>
      <c r="C28" s="68" t="s">
        <v>394</v>
      </c>
      <c r="D28" s="158" t="s">
        <v>395</v>
      </c>
      <c r="E28" s="151"/>
      <c r="F28" s="151"/>
      <c r="G28" s="59"/>
      <c r="H28" s="58"/>
      <c r="I28" s="57"/>
      <c r="J28" s="56"/>
      <c r="K28" s="56"/>
    </row>
    <row r="29" spans="1:11" ht="70.150000000000006" customHeight="1">
      <c r="A29" s="69" t="s">
        <v>298</v>
      </c>
      <c r="B29" s="70" t="s">
        <v>396</v>
      </c>
      <c r="C29" s="70" t="s">
        <v>397</v>
      </c>
      <c r="D29" s="158" t="s">
        <v>398</v>
      </c>
      <c r="E29" s="151"/>
      <c r="F29" s="151"/>
      <c r="G29" s="59"/>
      <c r="H29" s="58"/>
      <c r="I29" s="57"/>
      <c r="J29" s="56"/>
      <c r="K29" s="56"/>
    </row>
    <row r="30" spans="1:11" ht="70.150000000000006" customHeight="1">
      <c r="A30" s="67"/>
      <c r="B30" s="68"/>
      <c r="C30" s="68"/>
      <c r="D30" s="158"/>
      <c r="E30" s="151"/>
      <c r="F30" s="151"/>
      <c r="G30" s="59"/>
      <c r="H30" s="58"/>
      <c r="I30" s="57"/>
      <c r="J30" s="56"/>
      <c r="K30" s="56"/>
    </row>
    <row r="31" spans="1:11" ht="70.150000000000006" customHeight="1">
      <c r="A31" s="69"/>
      <c r="B31" s="79"/>
      <c r="C31" s="70"/>
      <c r="D31" s="158"/>
      <c r="E31" s="151"/>
      <c r="F31" s="151"/>
      <c r="G31" s="59"/>
      <c r="H31" s="58"/>
      <c r="I31" s="57"/>
      <c r="J31" s="56"/>
      <c r="K31" s="56"/>
    </row>
    <row r="32" spans="1:11" ht="70.150000000000006" customHeight="1">
      <c r="A32" s="80"/>
      <c r="B32" s="81"/>
      <c r="C32" s="82"/>
      <c r="D32" s="191"/>
      <c r="E32" s="192"/>
      <c r="F32" s="192"/>
      <c r="G32" s="59"/>
      <c r="H32" s="58"/>
      <c r="I32" s="57"/>
      <c r="J32" s="56"/>
      <c r="K32" s="56"/>
    </row>
    <row r="33" spans="1:11" ht="70.150000000000006" customHeight="1">
      <c r="A33" s="54"/>
      <c r="B33" s="63"/>
      <c r="C33" s="56"/>
      <c r="D33" s="191"/>
      <c r="E33" s="192"/>
      <c r="F33" s="192"/>
      <c r="G33" s="59"/>
      <c r="H33" s="58"/>
      <c r="I33" s="57"/>
      <c r="J33" s="56"/>
      <c r="K33" s="56"/>
    </row>
    <row r="34" spans="1:11" ht="70.150000000000006" customHeight="1">
      <c r="A34" s="54"/>
      <c r="B34" s="63"/>
      <c r="C34" s="56"/>
      <c r="D34" s="191"/>
      <c r="E34" s="192"/>
      <c r="F34" s="192"/>
      <c r="G34" s="59"/>
      <c r="H34" s="58"/>
      <c r="I34" s="57"/>
      <c r="J34" s="56"/>
      <c r="K34" s="56"/>
    </row>
    <row r="35" spans="1:11" ht="70.150000000000006" customHeight="1">
      <c r="A35" s="54"/>
      <c r="B35" s="63"/>
      <c r="C35" s="56"/>
      <c r="D35" s="191"/>
      <c r="E35" s="192"/>
      <c r="F35" s="192"/>
      <c r="G35" s="59"/>
      <c r="H35" s="58"/>
      <c r="I35" s="57"/>
      <c r="J35" s="56"/>
      <c r="K35" s="56"/>
    </row>
    <row r="36" spans="1:11" ht="70.150000000000006" customHeight="1">
      <c r="A36" s="54"/>
      <c r="B36" s="63"/>
      <c r="C36" s="56"/>
      <c r="D36" s="191"/>
      <c r="E36" s="192"/>
      <c r="F36" s="192"/>
      <c r="G36" s="59"/>
      <c r="H36" s="58"/>
      <c r="I36" s="57"/>
      <c r="J36" s="56"/>
      <c r="K36" s="56"/>
    </row>
    <row r="37" spans="1:11" ht="70.150000000000006" customHeight="1">
      <c r="A37" s="54"/>
      <c r="B37" s="63"/>
      <c r="C37" s="56"/>
      <c r="D37" s="191"/>
      <c r="E37" s="192"/>
      <c r="F37" s="192"/>
      <c r="G37" s="59"/>
      <c r="H37" s="58"/>
      <c r="I37" s="57"/>
      <c r="J37" s="56"/>
      <c r="K37" s="56"/>
    </row>
    <row r="38" spans="1:11" ht="70.150000000000006" customHeight="1">
      <c r="A38" s="54"/>
      <c r="B38" s="63"/>
      <c r="C38" s="56"/>
      <c r="D38" s="191"/>
      <c r="E38" s="192"/>
      <c r="F38" s="192"/>
      <c r="G38" s="59"/>
      <c r="H38" s="58"/>
      <c r="I38" s="57"/>
      <c r="J38" s="56"/>
      <c r="K38" s="56"/>
    </row>
    <row r="39" spans="1:11" ht="70.150000000000006" customHeight="1">
      <c r="A39" s="54"/>
      <c r="B39" s="63"/>
      <c r="C39" s="56"/>
      <c r="D39" s="191"/>
      <c r="E39" s="192"/>
      <c r="F39" s="192"/>
      <c r="G39" s="59"/>
      <c r="H39" s="58"/>
      <c r="I39" s="57"/>
      <c r="J39" s="56"/>
      <c r="K39" s="56"/>
    </row>
    <row r="40" spans="1:11" ht="70.150000000000006" customHeight="1">
      <c r="A40" s="54"/>
      <c r="B40" s="63"/>
      <c r="C40" s="56"/>
      <c r="D40" s="191"/>
      <c r="E40" s="192"/>
      <c r="F40" s="192"/>
      <c r="G40" s="59"/>
      <c r="H40" s="58"/>
      <c r="I40" s="57"/>
      <c r="J40" s="56"/>
      <c r="K40" s="56"/>
    </row>
    <row r="41" spans="1:11" ht="70.150000000000006" customHeight="1">
      <c r="A41" s="54"/>
      <c r="B41" s="63"/>
      <c r="C41" s="56"/>
      <c r="D41" s="191"/>
      <c r="E41" s="192"/>
      <c r="F41" s="192"/>
      <c r="G41" s="59"/>
      <c r="H41" s="58"/>
      <c r="I41" s="57"/>
      <c r="J41" s="56"/>
      <c r="K41" s="56"/>
    </row>
    <row r="42" spans="1:11" ht="70.150000000000006" customHeight="1">
      <c r="A42" s="54"/>
      <c r="B42" s="63"/>
      <c r="C42" s="56"/>
      <c r="D42" s="191"/>
      <c r="E42" s="192"/>
      <c r="F42" s="192"/>
      <c r="G42" s="59"/>
      <c r="H42" s="58"/>
      <c r="I42" s="57"/>
      <c r="J42" s="56"/>
      <c r="K42" s="56"/>
    </row>
    <row r="43" spans="1:11" ht="70.150000000000006" customHeight="1">
      <c r="A43" s="54"/>
      <c r="B43" s="63"/>
      <c r="C43" s="56"/>
      <c r="D43" s="191"/>
      <c r="E43" s="192"/>
      <c r="F43" s="192"/>
      <c r="G43" s="59"/>
      <c r="H43" s="58"/>
      <c r="I43" s="57"/>
      <c r="J43" s="56"/>
      <c r="K43" s="56"/>
    </row>
    <row r="44" spans="1:11" ht="70.150000000000006" customHeight="1">
      <c r="A44" s="54"/>
      <c r="B44" s="63"/>
      <c r="C44" s="56"/>
      <c r="D44" s="191"/>
      <c r="E44" s="192"/>
      <c r="F44" s="192"/>
      <c r="G44" s="59"/>
      <c r="H44" s="58"/>
      <c r="I44" s="57"/>
      <c r="J44" s="56"/>
      <c r="K44" s="56"/>
    </row>
    <row r="45" spans="1:11" ht="70.150000000000006" customHeight="1">
      <c r="A45" s="54"/>
      <c r="B45" s="63"/>
      <c r="C45" s="56"/>
      <c r="D45" s="191"/>
      <c r="E45" s="192"/>
      <c r="F45" s="192"/>
      <c r="G45" s="59"/>
      <c r="H45" s="58"/>
      <c r="I45" s="57"/>
      <c r="J45" s="56"/>
      <c r="K45" s="56"/>
    </row>
    <row r="46" spans="1:11" ht="70.150000000000006" customHeight="1">
      <c r="A46" s="54"/>
      <c r="B46" s="63"/>
      <c r="C46" s="56"/>
      <c r="D46" s="191"/>
      <c r="E46" s="192"/>
      <c r="F46" s="192"/>
      <c r="G46" s="59"/>
      <c r="H46" s="58"/>
      <c r="I46" s="57"/>
      <c r="J46" s="56"/>
      <c r="K46" s="56"/>
    </row>
    <row r="47" spans="1:11" ht="70.150000000000006" customHeight="1">
      <c r="A47" s="54"/>
      <c r="B47" s="63"/>
      <c r="C47" s="56"/>
      <c r="D47" s="191"/>
      <c r="E47" s="192"/>
      <c r="F47" s="192"/>
      <c r="G47" s="59"/>
      <c r="H47" s="58"/>
      <c r="I47" s="57"/>
      <c r="J47" s="56"/>
      <c r="K47" s="56"/>
    </row>
    <row r="48" spans="1:11" ht="70.150000000000006" customHeight="1">
      <c r="A48" s="54"/>
      <c r="B48" s="63"/>
      <c r="C48" s="56"/>
      <c r="D48" s="191"/>
      <c r="E48" s="192"/>
      <c r="F48" s="192"/>
      <c r="G48" s="59"/>
      <c r="H48" s="58"/>
      <c r="I48" s="57"/>
      <c r="J48" s="56"/>
      <c r="K48" s="56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30" t="s">
        <v>0</v>
      </c>
      <c r="B1" s="32" t="s">
        <v>399</v>
      </c>
      <c r="C1" s="31"/>
      <c r="D1" s="31"/>
      <c r="E1" s="31"/>
      <c r="F1" s="31"/>
      <c r="G1" s="31"/>
      <c r="H1" s="31"/>
      <c r="I1" s="31"/>
      <c r="J1" s="32"/>
      <c r="K1" s="31"/>
    </row>
    <row r="2" spans="1:11" ht="14.25">
      <c r="A2" s="33"/>
      <c r="B2" s="64"/>
      <c r="C2" s="64"/>
      <c r="D2" s="64"/>
      <c r="E2" s="31"/>
      <c r="F2" s="31"/>
      <c r="G2" s="31"/>
      <c r="H2" s="31"/>
      <c r="I2" s="31"/>
      <c r="J2" s="32"/>
      <c r="K2" s="31"/>
    </row>
    <row r="3" spans="1:11" ht="14.25" customHeight="1">
      <c r="A3" s="34" t="s">
        <v>57</v>
      </c>
      <c r="B3" s="134" t="s">
        <v>58</v>
      </c>
      <c r="C3" s="134"/>
      <c r="D3" s="135"/>
      <c r="E3" s="35"/>
      <c r="F3" s="35"/>
      <c r="G3" s="35"/>
      <c r="H3" s="35"/>
      <c r="I3" s="136"/>
      <c r="J3" s="136"/>
      <c r="K3" s="136"/>
    </row>
    <row r="4" spans="1:11" ht="13.5" customHeight="1">
      <c r="A4" s="38" t="s">
        <v>59</v>
      </c>
      <c r="B4" s="137" t="s">
        <v>400</v>
      </c>
      <c r="C4" s="138"/>
      <c r="D4" s="139"/>
      <c r="E4" s="35"/>
      <c r="F4" s="35"/>
      <c r="G4" s="35"/>
      <c r="H4" s="35"/>
      <c r="I4" s="136"/>
      <c r="J4" s="136"/>
      <c r="K4" s="136"/>
    </row>
    <row r="5" spans="1:11" ht="12.75" customHeight="1">
      <c r="A5" s="38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</row>
    <row r="6" spans="1:11" ht="14.25">
      <c r="A6" s="41" t="s">
        <v>63</v>
      </c>
      <c r="B6" s="42">
        <f>COUNTIF(J12:J21,"Pass")</f>
        <v>0</v>
      </c>
      <c r="C6" s="43" t="s">
        <v>64</v>
      </c>
      <c r="D6" s="44">
        <f>COUNTIF(J10:J740,"Pending")</f>
        <v>8</v>
      </c>
      <c r="E6" s="36"/>
      <c r="F6" s="36"/>
      <c r="G6" s="36"/>
      <c r="H6" s="36"/>
      <c r="I6" s="136"/>
      <c r="J6" s="136"/>
      <c r="K6" s="136"/>
    </row>
    <row r="7" spans="1:11" ht="14.25">
      <c r="A7" s="45" t="s">
        <v>65</v>
      </c>
      <c r="B7" s="46">
        <f>COUNTIF(J12:J21,"Fail")</f>
        <v>0</v>
      </c>
      <c r="C7" s="47" t="s">
        <v>66</v>
      </c>
      <c r="D7" s="48">
        <f>COUNTA(A12:A22)-3</f>
        <v>8</v>
      </c>
      <c r="E7" s="49"/>
      <c r="F7" s="49"/>
      <c r="G7" s="49"/>
      <c r="H7" s="49"/>
      <c r="I7" s="136"/>
      <c r="J7" s="136"/>
      <c r="K7" s="136"/>
    </row>
    <row r="8" spans="1:11" ht="14.25">
      <c r="A8" s="144"/>
      <c r="B8" s="144"/>
      <c r="C8" s="144"/>
      <c r="D8" s="144"/>
      <c r="E8" s="36"/>
      <c r="F8" s="36"/>
      <c r="G8" s="36"/>
      <c r="H8" s="36"/>
      <c r="I8" s="36"/>
      <c r="J8" s="50"/>
      <c r="K8" s="50"/>
    </row>
    <row r="9" spans="1:1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</row>
    <row r="10" spans="1:1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</row>
    <row r="11" spans="1:1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1">
      <c r="A12" s="147" t="s">
        <v>401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1" ht="52.5" customHeight="1">
      <c r="A13" s="71" t="s">
        <v>76</v>
      </c>
      <c r="B13" s="55" t="s">
        <v>402</v>
      </c>
      <c r="C13" s="55" t="s">
        <v>403</v>
      </c>
      <c r="D13" s="195" t="s">
        <v>404</v>
      </c>
      <c r="E13" s="196"/>
      <c r="F13" s="196"/>
      <c r="G13" s="74"/>
      <c r="H13" s="73"/>
      <c r="I13" s="75"/>
      <c r="J13" s="55" t="s">
        <v>64</v>
      </c>
      <c r="K13" s="55"/>
    </row>
    <row r="14" spans="1:11" ht="57" customHeight="1">
      <c r="A14" s="71" t="s">
        <v>81</v>
      </c>
      <c r="B14" s="55" t="s">
        <v>405</v>
      </c>
      <c r="C14" s="55" t="s">
        <v>403</v>
      </c>
      <c r="D14" s="195" t="s">
        <v>406</v>
      </c>
      <c r="E14" s="196"/>
      <c r="F14" s="196"/>
      <c r="G14" s="74"/>
      <c r="H14" s="73"/>
      <c r="I14" s="75"/>
      <c r="J14" s="55" t="s">
        <v>64</v>
      </c>
      <c r="K14" s="55"/>
    </row>
    <row r="15" spans="1:11">
      <c r="A15" s="197" t="s">
        <v>407</v>
      </c>
      <c r="B15" s="198"/>
      <c r="C15" s="198"/>
      <c r="D15" s="76"/>
      <c r="E15" s="76"/>
      <c r="F15" s="76"/>
      <c r="G15" s="76"/>
      <c r="H15" s="76"/>
      <c r="I15" s="76"/>
      <c r="J15" s="76"/>
      <c r="K15" s="77"/>
    </row>
    <row r="16" spans="1:11" ht="78" customHeight="1">
      <c r="A16" s="71" t="s">
        <v>86</v>
      </c>
      <c r="B16" s="78" t="s">
        <v>408</v>
      </c>
      <c r="C16" s="78" t="s">
        <v>409</v>
      </c>
      <c r="D16" s="195" t="s">
        <v>410</v>
      </c>
      <c r="E16" s="196"/>
      <c r="F16" s="196"/>
      <c r="G16" s="74"/>
      <c r="H16" s="73"/>
      <c r="I16" s="72"/>
      <c r="J16" s="55" t="s">
        <v>64</v>
      </c>
      <c r="K16" s="55"/>
    </row>
    <row r="17" spans="1:11" ht="40.5" customHeight="1">
      <c r="A17" s="71" t="s">
        <v>91</v>
      </c>
      <c r="B17" s="78" t="s">
        <v>411</v>
      </c>
      <c r="C17" s="78" t="s">
        <v>412</v>
      </c>
      <c r="D17" s="195" t="s">
        <v>413</v>
      </c>
      <c r="E17" s="196"/>
      <c r="F17" s="196"/>
      <c r="G17" s="74"/>
      <c r="H17" s="73"/>
      <c r="I17" s="72"/>
      <c r="J17" s="55" t="s">
        <v>64</v>
      </c>
      <c r="K17" s="55"/>
    </row>
    <row r="18" spans="1:11" ht="54.75" customHeight="1">
      <c r="A18" s="71" t="s">
        <v>96</v>
      </c>
      <c r="B18" s="78" t="s">
        <v>414</v>
      </c>
      <c r="C18" s="78" t="s">
        <v>415</v>
      </c>
      <c r="D18" s="195" t="s">
        <v>416</v>
      </c>
      <c r="E18" s="196"/>
      <c r="F18" s="196"/>
      <c r="G18" s="74"/>
      <c r="H18" s="73"/>
      <c r="I18" s="72"/>
      <c r="J18" s="55" t="s">
        <v>64</v>
      </c>
      <c r="K18" s="55"/>
    </row>
    <row r="19" spans="1:11" ht="105.75" customHeight="1">
      <c r="A19" s="71" t="s">
        <v>100</v>
      </c>
      <c r="B19" s="78" t="s">
        <v>417</v>
      </c>
      <c r="C19" s="78" t="s">
        <v>418</v>
      </c>
      <c r="D19" s="195" t="s">
        <v>419</v>
      </c>
      <c r="E19" s="196"/>
      <c r="F19" s="196"/>
      <c r="G19" s="74"/>
      <c r="H19" s="73"/>
      <c r="I19" s="72"/>
      <c r="J19" s="55" t="s">
        <v>64</v>
      </c>
      <c r="K19" s="55"/>
    </row>
    <row r="20" spans="1:11">
      <c r="A20" s="197" t="s">
        <v>420</v>
      </c>
      <c r="B20" s="198"/>
      <c r="C20" s="198"/>
      <c r="D20" s="76"/>
      <c r="E20" s="76"/>
      <c r="F20" s="76"/>
      <c r="G20" s="76"/>
      <c r="H20" s="76"/>
      <c r="I20" s="76"/>
      <c r="J20" s="76"/>
      <c r="K20" s="77"/>
    </row>
    <row r="21" spans="1:11" ht="65.25" customHeight="1">
      <c r="A21" s="71" t="s">
        <v>105</v>
      </c>
      <c r="B21" s="55" t="s">
        <v>421</v>
      </c>
      <c r="C21" s="55" t="s">
        <v>422</v>
      </c>
      <c r="D21" s="195" t="s">
        <v>423</v>
      </c>
      <c r="E21" s="199"/>
      <c r="F21" s="199"/>
      <c r="G21" s="74"/>
      <c r="H21" s="73"/>
      <c r="I21" s="72"/>
      <c r="J21" s="55" t="s">
        <v>64</v>
      </c>
      <c r="K21" s="55"/>
    </row>
    <row r="22" spans="1:11" ht="69.95" customHeight="1">
      <c r="A22" s="71" t="s">
        <v>109</v>
      </c>
      <c r="B22" s="55" t="s">
        <v>424</v>
      </c>
      <c r="C22" s="55" t="s">
        <v>425</v>
      </c>
      <c r="D22" s="195" t="s">
        <v>426</v>
      </c>
      <c r="E22" s="199"/>
      <c r="F22" s="199"/>
      <c r="G22" s="74"/>
      <c r="H22" s="73"/>
      <c r="I22" s="72"/>
      <c r="J22" s="55" t="s">
        <v>64</v>
      </c>
      <c r="K22" s="55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topLeftCell="A28" zoomScale="83" zoomScaleNormal="83" workbookViewId="0">
      <selection activeCell="F5" sqref="F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6"/>
    <col min="11" max="11" width="18" customWidth="1"/>
  </cols>
  <sheetData>
    <row r="1" spans="1:12" s="24" customFormat="1" ht="12.75" customHeight="1">
      <c r="A1" s="30" t="s">
        <v>0</v>
      </c>
      <c r="B1" s="32" t="s">
        <v>216</v>
      </c>
      <c r="C1" s="31"/>
      <c r="D1" s="31"/>
      <c r="E1" s="31"/>
      <c r="F1" s="31"/>
      <c r="G1" s="31"/>
      <c r="H1" s="31"/>
      <c r="I1" s="31"/>
      <c r="J1" s="32"/>
      <c r="K1" s="31"/>
      <c r="L1" s="33"/>
    </row>
    <row r="2" spans="1:12" s="24" customFormat="1" ht="11.25" customHeight="1">
      <c r="A2" s="33"/>
      <c r="B2" s="64"/>
      <c r="C2" s="64"/>
      <c r="D2" s="64"/>
      <c r="E2" s="31"/>
      <c r="F2" s="31"/>
      <c r="G2" s="31"/>
      <c r="H2" s="31"/>
      <c r="I2" s="31"/>
      <c r="J2" s="32"/>
      <c r="K2" s="31"/>
      <c r="L2" s="33"/>
    </row>
    <row r="3" spans="1:12" s="25" customFormat="1" ht="15" customHeight="1">
      <c r="A3" s="65" t="s">
        <v>57</v>
      </c>
      <c r="B3" s="134" t="s">
        <v>58</v>
      </c>
      <c r="C3" s="134"/>
      <c r="D3" s="135"/>
      <c r="E3" s="35"/>
      <c r="F3" s="35"/>
      <c r="G3" s="35"/>
      <c r="H3" s="35"/>
      <c r="I3" s="136"/>
      <c r="J3" s="136"/>
      <c r="K3" s="136"/>
      <c r="L3" s="37"/>
    </row>
    <row r="4" spans="1:12" s="25" customFormat="1" ht="13.15" customHeight="1">
      <c r="A4" s="38" t="s">
        <v>59</v>
      </c>
      <c r="B4" s="137" t="s">
        <v>427</v>
      </c>
      <c r="C4" s="138"/>
      <c r="D4" s="139"/>
      <c r="E4" s="35"/>
      <c r="F4" s="35"/>
      <c r="G4" s="35"/>
      <c r="H4" s="35"/>
      <c r="I4" s="136"/>
      <c r="J4" s="136"/>
      <c r="K4" s="136"/>
      <c r="L4" s="37"/>
    </row>
    <row r="5" spans="1:12" s="26" customFormat="1" ht="25.5">
      <c r="A5" s="66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  <c r="L5" s="40"/>
    </row>
    <row r="6" spans="1:12" s="25" customFormat="1" ht="15" customHeight="1">
      <c r="A6" s="41" t="s">
        <v>63</v>
      </c>
      <c r="B6" s="42">
        <f>COUNTIF(J12:J23,"Pass")</f>
        <v>0</v>
      </c>
      <c r="C6" s="43" t="s">
        <v>64</v>
      </c>
      <c r="D6" s="44">
        <f>COUNTIF(J10:J741,"Pending")</f>
        <v>0</v>
      </c>
      <c r="E6" s="36"/>
      <c r="F6" s="36"/>
      <c r="G6" s="36"/>
      <c r="H6" s="36"/>
      <c r="I6" s="136"/>
      <c r="J6" s="136"/>
      <c r="K6" s="136"/>
      <c r="L6" s="37"/>
    </row>
    <row r="7" spans="1:12" s="25" customFormat="1" ht="15" customHeight="1">
      <c r="A7" s="45" t="s">
        <v>65</v>
      </c>
      <c r="B7" s="46">
        <f>COUNTIF(J12:J23,"Fail")</f>
        <v>0</v>
      </c>
      <c r="C7" s="47" t="s">
        <v>66</v>
      </c>
      <c r="D7" s="48">
        <f>COUNTA(A12:A27)-4</f>
        <v>12</v>
      </c>
      <c r="E7" s="49"/>
      <c r="F7" s="49"/>
      <c r="G7" s="49"/>
      <c r="H7" s="49"/>
      <c r="I7" s="136"/>
      <c r="J7" s="136"/>
      <c r="K7" s="136"/>
      <c r="L7" s="37"/>
    </row>
    <row r="8" spans="1:12" s="25" customFormat="1" ht="15" customHeight="1">
      <c r="A8" s="144"/>
      <c r="B8" s="144"/>
      <c r="C8" s="144"/>
      <c r="D8" s="144"/>
      <c r="F8" s="36"/>
      <c r="G8" s="36"/>
      <c r="H8" s="36"/>
      <c r="I8" s="36"/>
      <c r="J8" s="50"/>
      <c r="K8" s="50"/>
      <c r="L8" s="37"/>
    </row>
    <row r="9" spans="1:12" s="27" customFormat="1" ht="12" customHeight="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  <c r="L9" s="51"/>
    </row>
    <row r="10" spans="1:12" s="25" customFormat="1" ht="12" customHeight="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  <c r="L10" s="37"/>
    </row>
    <row r="11" spans="1:12" s="28" customFormat="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29" customFormat="1" ht="29.45" customHeight="1">
      <c r="A12" s="200" t="s">
        <v>428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2" s="29" customFormat="1" ht="69" customHeight="1" outlineLevel="1">
      <c r="A13" s="67" t="s">
        <v>76</v>
      </c>
      <c r="B13" s="68" t="s">
        <v>429</v>
      </c>
      <c r="C13" s="68" t="s">
        <v>430</v>
      </c>
      <c r="D13" s="158" t="s">
        <v>431</v>
      </c>
      <c r="E13" s="151"/>
      <c r="F13" s="151"/>
      <c r="G13" s="59"/>
      <c r="H13" s="58"/>
      <c r="I13" s="60"/>
      <c r="J13" s="56"/>
      <c r="K13" s="56"/>
    </row>
    <row r="14" spans="1:12" s="29" customFormat="1" ht="63.75" customHeight="1" outlineLevel="1">
      <c r="A14" s="69" t="s">
        <v>81</v>
      </c>
      <c r="B14" s="70" t="s">
        <v>432</v>
      </c>
      <c r="C14" s="70" t="s">
        <v>433</v>
      </c>
      <c r="D14" s="158" t="s">
        <v>434</v>
      </c>
      <c r="E14" s="151"/>
      <c r="F14" s="151"/>
      <c r="G14" s="59"/>
      <c r="H14" s="58"/>
      <c r="I14" s="57"/>
      <c r="J14" s="56"/>
      <c r="K14" s="56"/>
    </row>
    <row r="15" spans="1:12" s="29" customFormat="1" ht="70.150000000000006" customHeight="1" outlineLevel="1">
      <c r="A15" s="67" t="s">
        <v>86</v>
      </c>
      <c r="B15" s="68" t="s">
        <v>435</v>
      </c>
      <c r="C15" s="68" t="s">
        <v>436</v>
      </c>
      <c r="D15" s="158" t="s">
        <v>437</v>
      </c>
      <c r="E15" s="151"/>
      <c r="F15" s="151"/>
      <c r="G15" s="59"/>
      <c r="H15" s="58"/>
      <c r="I15" s="57"/>
      <c r="J15" s="56"/>
      <c r="K15" s="56"/>
    </row>
    <row r="16" spans="1:12" ht="32.450000000000003" customHeight="1">
      <c r="A16" s="200" t="s">
        <v>438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9"/>
    </row>
    <row r="17" spans="1:11" ht="70.150000000000006" customHeight="1">
      <c r="A17" s="69" t="s">
        <v>91</v>
      </c>
      <c r="B17" s="70" t="s">
        <v>439</v>
      </c>
      <c r="C17" s="70" t="s">
        <v>440</v>
      </c>
      <c r="D17" s="158" t="s">
        <v>441</v>
      </c>
      <c r="E17" s="151"/>
      <c r="F17" s="151"/>
      <c r="G17" s="59"/>
      <c r="H17" s="58"/>
      <c r="I17" s="57"/>
      <c r="J17" s="56"/>
      <c r="K17" s="56"/>
    </row>
    <row r="18" spans="1:11" ht="70.150000000000006" customHeight="1">
      <c r="A18" s="67" t="s">
        <v>96</v>
      </c>
      <c r="B18" s="68" t="s">
        <v>442</v>
      </c>
      <c r="C18" s="68" t="s">
        <v>443</v>
      </c>
      <c r="D18" s="158" t="s">
        <v>444</v>
      </c>
      <c r="E18" s="151"/>
      <c r="F18" s="151"/>
      <c r="G18" s="59"/>
      <c r="H18" s="58"/>
      <c r="I18" s="57"/>
      <c r="J18" s="56"/>
      <c r="K18" s="56"/>
    </row>
    <row r="19" spans="1:11" ht="70.150000000000006" customHeight="1">
      <c r="A19" s="69" t="s">
        <v>100</v>
      </c>
      <c r="B19" s="70" t="s">
        <v>445</v>
      </c>
      <c r="C19" s="70" t="s">
        <v>446</v>
      </c>
      <c r="D19" s="158" t="s">
        <v>447</v>
      </c>
      <c r="E19" s="151"/>
      <c r="F19" s="151"/>
      <c r="G19" s="59"/>
      <c r="H19" s="58"/>
      <c r="I19" s="57"/>
      <c r="J19" s="56"/>
      <c r="K19" s="56"/>
    </row>
    <row r="20" spans="1:11" ht="70.150000000000006" customHeight="1">
      <c r="A20" s="67" t="s">
        <v>105</v>
      </c>
      <c r="B20" s="68" t="s">
        <v>448</v>
      </c>
      <c r="C20" s="68" t="s">
        <v>449</v>
      </c>
      <c r="D20" s="158" t="s">
        <v>450</v>
      </c>
      <c r="E20" s="151"/>
      <c r="F20" s="151"/>
      <c r="G20" s="59"/>
      <c r="H20" s="58"/>
      <c r="I20" s="57"/>
      <c r="J20" s="56"/>
      <c r="K20" s="56"/>
    </row>
    <row r="21" spans="1:11" ht="70.150000000000006" customHeight="1">
      <c r="A21" s="69" t="s">
        <v>109</v>
      </c>
      <c r="B21" s="70" t="s">
        <v>451</v>
      </c>
      <c r="C21" s="70" t="s">
        <v>452</v>
      </c>
      <c r="D21" s="158" t="s">
        <v>453</v>
      </c>
      <c r="E21" s="151"/>
      <c r="F21" s="151"/>
      <c r="G21" s="59"/>
      <c r="H21" s="58"/>
      <c r="I21" s="57"/>
      <c r="J21" s="56"/>
      <c r="K21" s="56"/>
    </row>
    <row r="22" spans="1:11" ht="31.9" customHeight="1">
      <c r="A22" s="200" t="s">
        <v>454</v>
      </c>
      <c r="B22" s="148"/>
      <c r="C22" s="148"/>
      <c r="D22" s="148"/>
      <c r="E22" s="148"/>
      <c r="F22" s="148"/>
      <c r="G22" s="148"/>
      <c r="H22" s="148"/>
      <c r="I22" s="148"/>
      <c r="J22" s="148"/>
      <c r="K22" s="149"/>
    </row>
    <row r="23" spans="1:11" ht="70.150000000000006" customHeight="1">
      <c r="A23" s="67" t="s">
        <v>114</v>
      </c>
      <c r="B23" s="68" t="s">
        <v>455</v>
      </c>
      <c r="C23" s="68" t="s">
        <v>456</v>
      </c>
      <c r="D23" s="158" t="s">
        <v>457</v>
      </c>
      <c r="E23" s="151"/>
      <c r="F23" s="151"/>
      <c r="G23" s="59"/>
      <c r="H23" s="58"/>
      <c r="I23" s="57"/>
      <c r="J23" s="56"/>
      <c r="K23" s="56"/>
    </row>
    <row r="24" spans="1:11" ht="70.150000000000006" customHeight="1">
      <c r="A24" s="69" t="s">
        <v>118</v>
      </c>
      <c r="B24" s="70" t="s">
        <v>458</v>
      </c>
      <c r="C24" s="70" t="s">
        <v>459</v>
      </c>
      <c r="D24" s="158" t="s">
        <v>460</v>
      </c>
      <c r="E24" s="151"/>
      <c r="F24" s="151"/>
      <c r="G24" s="59"/>
      <c r="H24" s="58"/>
      <c r="I24" s="57"/>
      <c r="J24" s="56"/>
      <c r="K24" s="56"/>
    </row>
    <row r="25" spans="1:11" ht="70.150000000000006" customHeight="1">
      <c r="A25" s="67" t="s">
        <v>122</v>
      </c>
      <c r="B25" s="68" t="s">
        <v>461</v>
      </c>
      <c r="C25" s="68" t="s">
        <v>462</v>
      </c>
      <c r="D25" s="158" t="s">
        <v>463</v>
      </c>
      <c r="E25" s="151"/>
      <c r="F25" s="151"/>
      <c r="G25" s="59"/>
      <c r="H25" s="58"/>
      <c r="I25" s="57"/>
      <c r="J25" s="56"/>
      <c r="K25" s="56"/>
    </row>
    <row r="26" spans="1:11" ht="70.150000000000006" customHeight="1">
      <c r="A26" s="69" t="s">
        <v>157</v>
      </c>
      <c r="B26" s="70" t="s">
        <v>464</v>
      </c>
      <c r="C26" s="70" t="s">
        <v>465</v>
      </c>
      <c r="D26" s="158" t="s">
        <v>466</v>
      </c>
      <c r="E26" s="151"/>
      <c r="F26" s="151"/>
      <c r="G26" s="59"/>
      <c r="H26" s="58"/>
      <c r="I26" s="57"/>
      <c r="J26" s="56"/>
      <c r="K26" s="56"/>
    </row>
    <row r="27" spans="1:11" ht="70.150000000000006" customHeight="1">
      <c r="A27" s="67" t="s">
        <v>294</v>
      </c>
      <c r="B27" s="68" t="s">
        <v>467</v>
      </c>
      <c r="C27" s="68" t="s">
        <v>468</v>
      </c>
      <c r="D27" s="158" t="s">
        <v>469</v>
      </c>
      <c r="E27" s="151"/>
      <c r="F27" s="151"/>
      <c r="G27" s="59"/>
      <c r="H27" s="58"/>
      <c r="I27" s="57"/>
      <c r="J27" s="56"/>
      <c r="K27" s="56"/>
    </row>
    <row r="28" spans="1:11" ht="70.150000000000006" customHeight="1">
      <c r="A28" s="69" t="s">
        <v>298</v>
      </c>
      <c r="B28" s="70" t="s">
        <v>470</v>
      </c>
      <c r="C28" s="70" t="s">
        <v>471</v>
      </c>
      <c r="D28" s="158" t="s">
        <v>472</v>
      </c>
      <c r="E28" s="151"/>
      <c r="F28" s="151"/>
      <c r="G28" s="59"/>
      <c r="H28" s="58"/>
      <c r="I28" s="57"/>
      <c r="J28" s="56"/>
      <c r="K28" s="56"/>
    </row>
    <row r="29" spans="1:11" ht="70.150000000000006" customHeight="1">
      <c r="A29" s="67" t="s">
        <v>303</v>
      </c>
      <c r="B29" s="68" t="s">
        <v>473</v>
      </c>
      <c r="C29" s="68" t="s">
        <v>474</v>
      </c>
      <c r="D29" s="158" t="s">
        <v>475</v>
      </c>
      <c r="E29" s="151"/>
      <c r="F29" s="151"/>
      <c r="G29" s="59"/>
      <c r="H29" s="58"/>
      <c r="I29" s="57"/>
      <c r="J29" s="56"/>
      <c r="K29" s="56"/>
    </row>
    <row r="30" spans="1:11" ht="31.9" customHeight="1">
      <c r="A30" s="200" t="s">
        <v>476</v>
      </c>
      <c r="B30" s="148"/>
      <c r="C30" s="148"/>
      <c r="D30" s="148"/>
      <c r="E30" s="148"/>
      <c r="F30" s="148"/>
      <c r="G30" s="148"/>
      <c r="H30" s="148"/>
      <c r="I30" s="148"/>
      <c r="J30" s="148"/>
      <c r="K30" s="149"/>
    </row>
    <row r="31" spans="1:11" ht="70.150000000000006" customHeight="1">
      <c r="A31" s="69" t="s">
        <v>307</v>
      </c>
      <c r="B31" s="70" t="s">
        <v>477</v>
      </c>
      <c r="C31" s="70" t="s">
        <v>478</v>
      </c>
      <c r="D31" s="158" t="s">
        <v>479</v>
      </c>
      <c r="E31" s="151"/>
      <c r="F31" s="151"/>
      <c r="G31" s="59"/>
      <c r="H31" s="58"/>
      <c r="I31" s="57"/>
      <c r="J31" s="56"/>
      <c r="K31" s="56"/>
    </row>
    <row r="32" spans="1:11" ht="70.150000000000006" customHeight="1">
      <c r="A32" s="67" t="s">
        <v>311</v>
      </c>
      <c r="B32" s="68" t="s">
        <v>480</v>
      </c>
      <c r="C32" s="68" t="s">
        <v>481</v>
      </c>
      <c r="D32" s="158" t="s">
        <v>482</v>
      </c>
      <c r="E32" s="151"/>
      <c r="F32" s="151"/>
      <c r="G32" s="59"/>
      <c r="H32" s="58"/>
      <c r="I32" s="57"/>
      <c r="J32" s="56"/>
      <c r="K32" s="56"/>
    </row>
    <row r="33" spans="1:11" ht="70.150000000000006" customHeight="1">
      <c r="A33" s="54"/>
      <c r="B33" s="63"/>
      <c r="C33" s="56"/>
      <c r="D33" s="191"/>
      <c r="E33" s="192"/>
      <c r="F33" s="192"/>
      <c r="G33" s="59"/>
      <c r="H33" s="58"/>
      <c r="I33" s="57"/>
      <c r="J33" s="56"/>
      <c r="K33" s="56"/>
    </row>
    <row r="34" spans="1:11" ht="70.150000000000006" customHeight="1">
      <c r="A34" s="54"/>
      <c r="B34" s="63"/>
      <c r="C34" s="56"/>
      <c r="D34" s="191"/>
      <c r="E34" s="192"/>
      <c r="F34" s="192"/>
      <c r="G34" s="59"/>
      <c r="H34" s="58"/>
      <c r="I34" s="57"/>
      <c r="J34" s="56"/>
      <c r="K34" s="56"/>
    </row>
    <row r="35" spans="1:11" ht="70.150000000000006" customHeight="1">
      <c r="A35" s="54"/>
      <c r="B35" s="63"/>
      <c r="C35" s="56"/>
      <c r="D35" s="191"/>
      <c r="E35" s="192"/>
      <c r="F35" s="192"/>
      <c r="G35" s="59"/>
      <c r="H35" s="58"/>
      <c r="I35" s="57"/>
      <c r="J35" s="56"/>
      <c r="K35" s="56"/>
    </row>
    <row r="36" spans="1:11" ht="70.150000000000006" customHeight="1">
      <c r="A36" s="54"/>
      <c r="B36" s="63"/>
      <c r="C36" s="56"/>
      <c r="D36" s="191"/>
      <c r="E36" s="192"/>
      <c r="F36" s="192"/>
      <c r="G36" s="59"/>
      <c r="H36" s="58"/>
      <c r="I36" s="57"/>
      <c r="J36" s="56"/>
      <c r="K36" s="56"/>
    </row>
    <row r="37" spans="1:11" ht="70.150000000000006" customHeight="1">
      <c r="A37" s="54"/>
      <c r="B37" s="63"/>
      <c r="C37" s="56"/>
      <c r="D37" s="191"/>
      <c r="E37" s="192"/>
      <c r="F37" s="192"/>
      <c r="G37" s="59"/>
      <c r="H37" s="58"/>
      <c r="I37" s="57"/>
      <c r="J37" s="56"/>
      <c r="K37" s="56"/>
    </row>
    <row r="38" spans="1:11" ht="70.150000000000006" customHeight="1">
      <c r="A38" s="54"/>
      <c r="B38" s="63"/>
      <c r="C38" s="56"/>
      <c r="D38" s="191"/>
      <c r="E38" s="192"/>
      <c r="F38" s="192"/>
      <c r="G38" s="59"/>
      <c r="H38" s="58"/>
      <c r="I38" s="57"/>
      <c r="J38" s="56"/>
      <c r="K38" s="56"/>
    </row>
    <row r="39" spans="1:11" ht="70.150000000000006" customHeight="1">
      <c r="A39" s="54"/>
      <c r="B39" s="63"/>
      <c r="C39" s="56"/>
      <c r="D39" s="191"/>
      <c r="E39" s="192"/>
      <c r="F39" s="192"/>
      <c r="G39" s="59"/>
      <c r="H39" s="58"/>
      <c r="I39" s="57"/>
      <c r="J39" s="56"/>
      <c r="K39" s="56"/>
    </row>
    <row r="40" spans="1:11" ht="70.150000000000006" customHeight="1">
      <c r="A40" s="54"/>
      <c r="B40" s="63"/>
      <c r="C40" s="56"/>
      <c r="D40" s="191"/>
      <c r="E40" s="192"/>
      <c r="F40" s="192"/>
      <c r="G40" s="59"/>
      <c r="H40" s="58"/>
      <c r="I40" s="57"/>
      <c r="J40" s="56"/>
      <c r="K40" s="56"/>
    </row>
    <row r="41" spans="1:11" ht="70.150000000000006" customHeight="1">
      <c r="A41" s="54"/>
      <c r="B41" s="63"/>
      <c r="C41" s="56"/>
      <c r="D41" s="191"/>
      <c r="E41" s="192"/>
      <c r="F41" s="192"/>
      <c r="G41" s="59"/>
      <c r="H41" s="58"/>
      <c r="I41" s="57"/>
      <c r="J41" s="56"/>
      <c r="K41" s="56"/>
    </row>
    <row r="42" spans="1:11" ht="70.150000000000006" customHeight="1">
      <c r="A42" s="54"/>
      <c r="B42" s="63"/>
      <c r="C42" s="56"/>
      <c r="D42" s="191"/>
      <c r="E42" s="192"/>
      <c r="F42" s="192"/>
      <c r="G42" s="59"/>
      <c r="H42" s="58"/>
      <c r="I42" s="57"/>
      <c r="J42" s="56"/>
      <c r="K42" s="56"/>
    </row>
    <row r="43" spans="1:11" ht="70.150000000000006" customHeight="1">
      <c r="A43" s="54"/>
      <c r="B43" s="63"/>
      <c r="C43" s="56"/>
      <c r="D43" s="191"/>
      <c r="E43" s="192"/>
      <c r="F43" s="192"/>
      <c r="G43" s="59"/>
      <c r="H43" s="58"/>
      <c r="I43" s="57"/>
      <c r="J43" s="56"/>
      <c r="K43" s="56"/>
    </row>
    <row r="44" spans="1:11" ht="70.150000000000006" customHeight="1">
      <c r="A44" s="54"/>
      <c r="B44" s="63"/>
      <c r="C44" s="56"/>
      <c r="D44" s="191"/>
      <c r="E44" s="192"/>
      <c r="F44" s="192"/>
      <c r="G44" s="59"/>
      <c r="H44" s="58"/>
      <c r="I44" s="57"/>
      <c r="J44" s="56"/>
      <c r="K44" s="56"/>
    </row>
    <row r="45" spans="1:11" ht="70.150000000000006" customHeight="1">
      <c r="A45" s="54"/>
      <c r="B45" s="63"/>
      <c r="C45" s="56"/>
      <c r="D45" s="191"/>
      <c r="E45" s="192"/>
      <c r="F45" s="192"/>
      <c r="G45" s="59"/>
      <c r="H45" s="58"/>
      <c r="I45" s="57"/>
      <c r="J45" s="56"/>
      <c r="K45" s="56"/>
    </row>
    <row r="46" spans="1:11" ht="70.150000000000006" customHeight="1">
      <c r="A46" s="54"/>
      <c r="B46" s="63"/>
      <c r="C46" s="56"/>
      <c r="D46" s="191"/>
      <c r="E46" s="192"/>
      <c r="F46" s="192"/>
      <c r="G46" s="59"/>
      <c r="H46" s="58"/>
      <c r="I46" s="57"/>
      <c r="J46" s="56"/>
      <c r="K46" s="56"/>
    </row>
    <row r="47" spans="1:11" ht="70.150000000000006" customHeight="1">
      <c r="A47" s="54"/>
      <c r="B47" s="63"/>
      <c r="C47" s="56"/>
      <c r="D47" s="191"/>
      <c r="E47" s="192"/>
      <c r="F47" s="192"/>
      <c r="G47" s="59"/>
      <c r="H47" s="58"/>
      <c r="I47" s="57"/>
      <c r="J47" s="56"/>
      <c r="K47" s="56"/>
    </row>
    <row r="48" spans="1:11" ht="70.150000000000006" customHeight="1">
      <c r="A48" s="54"/>
      <c r="B48" s="63"/>
      <c r="C48" s="56"/>
      <c r="D48" s="191"/>
      <c r="E48" s="192"/>
      <c r="F48" s="192"/>
      <c r="G48" s="59"/>
      <c r="H48" s="58"/>
      <c r="I48" s="57"/>
      <c r="J48" s="56"/>
      <c r="K48" s="56"/>
    </row>
    <row r="49" spans="1:11" ht="70.150000000000006" customHeight="1">
      <c r="A49" s="54"/>
      <c r="B49" s="63"/>
      <c r="C49" s="56"/>
      <c r="D49" s="191"/>
      <c r="E49" s="192"/>
      <c r="F49" s="192"/>
      <c r="G49" s="59"/>
      <c r="H49" s="58"/>
      <c r="I49" s="57"/>
      <c r="J49" s="56"/>
      <c r="K49" s="56"/>
    </row>
    <row r="50" spans="1:11" ht="70.150000000000006" customHeight="1">
      <c r="A50" s="54"/>
      <c r="B50" s="63"/>
      <c r="C50" s="56"/>
      <c r="D50" s="191"/>
      <c r="E50" s="192"/>
      <c r="F50" s="192"/>
      <c r="G50" s="59"/>
      <c r="H50" s="58"/>
      <c r="I50" s="57"/>
      <c r="J50" s="56"/>
      <c r="K50" s="56"/>
    </row>
    <row r="51" spans="1:11" ht="70.150000000000006" customHeight="1">
      <c r="A51" s="54"/>
      <c r="B51" s="63"/>
      <c r="C51" s="56"/>
      <c r="D51" s="191"/>
      <c r="E51" s="192"/>
      <c r="F51" s="192"/>
      <c r="G51" s="59"/>
      <c r="H51" s="58"/>
      <c r="I51" s="57"/>
      <c r="J51" s="56"/>
      <c r="K51" s="56"/>
    </row>
    <row r="52" spans="1:11" ht="70.150000000000006" customHeight="1">
      <c r="A52" s="54"/>
      <c r="B52" s="63"/>
      <c r="C52" s="56"/>
      <c r="D52" s="191"/>
      <c r="E52" s="192"/>
      <c r="F52" s="192"/>
      <c r="G52" s="59"/>
      <c r="H52" s="58"/>
      <c r="I52" s="57"/>
      <c r="J52" s="56"/>
      <c r="K52" s="56"/>
    </row>
    <row r="53" spans="1:11" ht="70.150000000000006" customHeight="1">
      <c r="A53" s="54"/>
      <c r="B53" s="63"/>
      <c r="C53" s="56"/>
      <c r="D53" s="191"/>
      <c r="E53" s="192"/>
      <c r="F53" s="192"/>
      <c r="G53" s="59"/>
      <c r="H53" s="58"/>
      <c r="I53" s="57"/>
      <c r="J53" s="56"/>
      <c r="K53" s="56"/>
    </row>
    <row r="54" spans="1:11" ht="70.150000000000006" customHeight="1">
      <c r="A54" s="54"/>
      <c r="B54" s="63"/>
      <c r="C54" s="56"/>
      <c r="D54" s="191"/>
      <c r="E54" s="192"/>
      <c r="F54" s="192"/>
      <c r="G54" s="59"/>
      <c r="H54" s="58"/>
      <c r="I54" s="57"/>
      <c r="J54" s="56"/>
      <c r="K54" s="56"/>
    </row>
    <row r="55" spans="1:11" ht="70.150000000000006" customHeight="1">
      <c r="A55" s="54"/>
      <c r="B55" s="63"/>
      <c r="C55" s="56"/>
      <c r="D55" s="191"/>
      <c r="E55" s="192"/>
      <c r="F55" s="192"/>
      <c r="G55" s="59"/>
      <c r="H55" s="58"/>
      <c r="I55" s="57"/>
      <c r="J55" s="56"/>
      <c r="K55" s="56"/>
    </row>
    <row r="56" spans="1:11" ht="70.150000000000006" customHeight="1">
      <c r="A56" s="54"/>
      <c r="B56" s="63"/>
      <c r="C56" s="56"/>
      <c r="D56" s="191"/>
      <c r="E56" s="192"/>
      <c r="F56" s="192"/>
      <c r="G56" s="59"/>
      <c r="H56" s="58"/>
      <c r="I56" s="57"/>
      <c r="J56" s="56"/>
      <c r="K56" s="56"/>
    </row>
    <row r="57" spans="1:11" ht="70.150000000000006" customHeight="1">
      <c r="A57" s="54"/>
      <c r="B57" s="63"/>
      <c r="C57" s="56"/>
      <c r="D57" s="191"/>
      <c r="E57" s="192"/>
      <c r="F57" s="192"/>
      <c r="G57" s="59"/>
      <c r="H57" s="58"/>
      <c r="I57" s="57"/>
      <c r="J57" s="56"/>
      <c r="K57" s="56"/>
    </row>
    <row r="58" spans="1:11" ht="70.150000000000006" customHeight="1">
      <c r="A58" s="54"/>
      <c r="B58" s="63"/>
      <c r="C58" s="56"/>
      <c r="D58" s="191"/>
      <c r="E58" s="192"/>
      <c r="F58" s="192"/>
      <c r="G58" s="59"/>
      <c r="H58" s="58"/>
      <c r="I58" s="57"/>
      <c r="J58" s="56"/>
      <c r="K58" s="56"/>
    </row>
    <row r="59" spans="1:11" ht="70.150000000000006" customHeight="1">
      <c r="A59" s="54"/>
      <c r="B59" s="63"/>
      <c r="C59" s="56"/>
      <c r="D59" s="191"/>
      <c r="E59" s="192"/>
      <c r="F59" s="192"/>
      <c r="G59" s="59"/>
      <c r="H59" s="58"/>
      <c r="I59" s="57"/>
      <c r="J59" s="56"/>
      <c r="K59" s="56"/>
    </row>
    <row r="60" spans="1:11" ht="70.150000000000006" customHeight="1">
      <c r="A60" s="54"/>
      <c r="B60" s="63"/>
      <c r="C60" s="56"/>
      <c r="D60" s="191"/>
      <c r="E60" s="192"/>
      <c r="F60" s="192"/>
      <c r="G60" s="59"/>
      <c r="H60" s="58"/>
      <c r="I60" s="57"/>
      <c r="J60" s="56"/>
      <c r="K60" s="56"/>
    </row>
    <row r="61" spans="1:11" ht="70.150000000000006" customHeight="1">
      <c r="A61" s="54"/>
      <c r="B61" s="63"/>
      <c r="C61" s="56"/>
      <c r="D61" s="191"/>
      <c r="E61" s="192"/>
      <c r="F61" s="192"/>
      <c r="G61" s="59"/>
      <c r="H61" s="58"/>
      <c r="I61" s="57"/>
      <c r="J61" s="56"/>
      <c r="K61" s="56"/>
    </row>
    <row r="62" spans="1:11" ht="70.150000000000006" customHeight="1">
      <c r="A62" s="54"/>
      <c r="B62" s="63"/>
      <c r="C62" s="56"/>
      <c r="D62" s="191"/>
      <c r="E62" s="192"/>
      <c r="F62" s="192"/>
      <c r="G62" s="59"/>
      <c r="H62" s="58"/>
      <c r="I62" s="57"/>
      <c r="J62" s="56"/>
      <c r="K62" s="56"/>
    </row>
    <row r="63" spans="1:11" ht="70.150000000000006" customHeight="1">
      <c r="A63" s="54"/>
      <c r="B63" s="63"/>
      <c r="C63" s="56"/>
      <c r="D63" s="191"/>
      <c r="E63" s="192"/>
      <c r="F63" s="192"/>
      <c r="G63" s="59"/>
      <c r="H63" s="58"/>
      <c r="I63" s="57"/>
      <c r="J63" s="56"/>
      <c r="K63" s="56"/>
    </row>
    <row r="64" spans="1:11" ht="70.150000000000006" customHeight="1">
      <c r="A64" s="54"/>
      <c r="B64" s="63"/>
      <c r="C64" s="56"/>
      <c r="D64" s="191"/>
      <c r="E64" s="192"/>
      <c r="F64" s="192"/>
      <c r="G64" s="59"/>
      <c r="H64" s="58"/>
      <c r="I64" s="57"/>
      <c r="J64" s="56"/>
      <c r="K64" s="56"/>
    </row>
    <row r="65" spans="1:11" ht="70.150000000000006" customHeight="1">
      <c r="A65" s="54"/>
      <c r="B65" s="63"/>
      <c r="C65" s="56"/>
      <c r="D65" s="191"/>
      <c r="E65" s="192"/>
      <c r="F65" s="192"/>
      <c r="G65" s="59"/>
      <c r="H65" s="58"/>
      <c r="I65" s="57"/>
      <c r="J65" s="56"/>
      <c r="K65" s="56"/>
    </row>
    <row r="66" spans="1:11" ht="70.150000000000006" customHeight="1">
      <c r="A66" s="54"/>
      <c r="B66" s="63"/>
      <c r="C66" s="56"/>
      <c r="D66" s="191"/>
      <c r="E66" s="192"/>
      <c r="F66" s="192"/>
      <c r="G66" s="59"/>
      <c r="H66" s="58"/>
      <c r="I66" s="57"/>
      <c r="J66" s="56"/>
      <c r="K66" s="56"/>
    </row>
    <row r="67" spans="1:11" ht="70.150000000000006" customHeight="1">
      <c r="A67" s="54"/>
      <c r="B67" s="63"/>
      <c r="C67" s="56"/>
      <c r="D67" s="191"/>
      <c r="E67" s="192"/>
      <c r="F67" s="192"/>
      <c r="G67" s="59"/>
      <c r="H67" s="58"/>
      <c r="I67" s="57"/>
      <c r="J67" s="56"/>
      <c r="K67" s="56"/>
    </row>
    <row r="68" spans="1:11" ht="70.150000000000006" customHeight="1">
      <c r="A68" s="54"/>
      <c r="B68" s="63"/>
      <c r="C68" s="56"/>
      <c r="D68" s="191"/>
      <c r="E68" s="192"/>
      <c r="F68" s="192"/>
      <c r="G68" s="59"/>
      <c r="H68" s="58"/>
      <c r="I68" s="57"/>
      <c r="J68" s="56"/>
      <c r="K68" s="56"/>
    </row>
    <row r="69" spans="1:11" ht="70.150000000000006" customHeight="1">
      <c r="A69" s="54"/>
      <c r="B69" s="63"/>
      <c r="C69" s="56"/>
      <c r="D69" s="191"/>
      <c r="E69" s="192"/>
      <c r="F69" s="192"/>
      <c r="G69" s="59"/>
      <c r="H69" s="58"/>
      <c r="I69" s="57"/>
      <c r="J69" s="56"/>
      <c r="K69" s="56"/>
    </row>
    <row r="70" spans="1:11" ht="70.150000000000006" customHeight="1">
      <c r="A70" s="54"/>
      <c r="B70" s="63"/>
      <c r="C70" s="56"/>
      <c r="D70" s="191"/>
      <c r="E70" s="192"/>
      <c r="F70" s="192"/>
      <c r="G70" s="59"/>
      <c r="H70" s="58"/>
      <c r="I70" s="57"/>
      <c r="J70" s="56"/>
      <c r="K70" s="56"/>
    </row>
    <row r="71" spans="1:11" ht="70.150000000000006" customHeight="1">
      <c r="A71" s="54"/>
      <c r="B71" s="63"/>
      <c r="C71" s="56"/>
      <c r="D71" s="191"/>
      <c r="E71" s="192"/>
      <c r="F71" s="192"/>
      <c r="G71" s="59"/>
      <c r="H71" s="58"/>
      <c r="I71" s="57"/>
      <c r="J71" s="56"/>
      <c r="K71" s="56"/>
    </row>
    <row r="72" spans="1:11" ht="70.150000000000006" customHeight="1">
      <c r="A72" s="54"/>
      <c r="B72" s="63"/>
      <c r="C72" s="56"/>
      <c r="D72" s="191"/>
      <c r="E72" s="192"/>
      <c r="F72" s="192"/>
      <c r="G72" s="59"/>
      <c r="H72" s="58"/>
      <c r="I72" s="57"/>
      <c r="J72" s="56"/>
      <c r="K72" s="56"/>
    </row>
    <row r="73" spans="1:11" ht="70.150000000000006" customHeight="1">
      <c r="A73" s="54"/>
      <c r="B73" s="63"/>
      <c r="C73" s="56"/>
      <c r="D73" s="191"/>
      <c r="E73" s="192"/>
      <c r="F73" s="192"/>
      <c r="G73" s="59"/>
      <c r="H73" s="58"/>
      <c r="I73" s="57"/>
      <c r="J73" s="56"/>
      <c r="K73" s="56"/>
    </row>
    <row r="74" spans="1:11" ht="70.150000000000006" customHeight="1">
      <c r="A74" s="54"/>
      <c r="B74" s="63"/>
      <c r="C74" s="56"/>
      <c r="D74" s="191"/>
      <c r="E74" s="192"/>
      <c r="F74" s="192"/>
      <c r="G74" s="59"/>
      <c r="H74" s="58"/>
      <c r="I74" s="57"/>
      <c r="J74" s="56"/>
      <c r="K74" s="56"/>
    </row>
    <row r="75" spans="1:11" ht="70.150000000000006" customHeight="1">
      <c r="A75" s="54"/>
      <c r="B75" s="63"/>
      <c r="C75" s="56"/>
      <c r="D75" s="191"/>
      <c r="E75" s="192"/>
      <c r="F75" s="192"/>
      <c r="G75" s="59"/>
      <c r="H75" s="58"/>
      <c r="I75" s="57"/>
      <c r="J75" s="56"/>
      <c r="K75" s="56"/>
    </row>
    <row r="76" spans="1:11" ht="70.150000000000006" customHeight="1">
      <c r="A76" s="54"/>
      <c r="B76" s="63"/>
      <c r="C76" s="56"/>
      <c r="D76" s="191"/>
      <c r="E76" s="192"/>
      <c r="F76" s="192"/>
      <c r="G76" s="59"/>
      <c r="H76" s="58"/>
      <c r="I76" s="57"/>
      <c r="J76" s="56"/>
      <c r="K76" s="56"/>
    </row>
    <row r="77" spans="1:11" ht="70.150000000000006" customHeight="1">
      <c r="A77" s="54"/>
      <c r="B77" s="63"/>
      <c r="C77" s="56"/>
      <c r="D77" s="191"/>
      <c r="E77" s="192"/>
      <c r="F77" s="192"/>
      <c r="G77" s="59"/>
      <c r="H77" s="58"/>
      <c r="I77" s="57"/>
      <c r="J77" s="56"/>
      <c r="K77" s="56"/>
    </row>
    <row r="78" spans="1:11" ht="70.150000000000006" customHeight="1">
      <c r="A78" s="54"/>
      <c r="B78" s="63"/>
      <c r="C78" s="56"/>
      <c r="D78" s="191"/>
      <c r="E78" s="192"/>
      <c r="F78" s="192"/>
      <c r="G78" s="59"/>
      <c r="H78" s="58"/>
      <c r="I78" s="57"/>
      <c r="J78" s="56"/>
      <c r="K78" s="56"/>
    </row>
    <row r="79" spans="1:11" ht="70.150000000000006" customHeight="1">
      <c r="A79" s="54"/>
      <c r="B79" s="63"/>
      <c r="C79" s="56"/>
      <c r="D79" s="191"/>
      <c r="E79" s="192"/>
      <c r="F79" s="192"/>
      <c r="G79" s="59"/>
      <c r="H79" s="58"/>
      <c r="I79" s="57"/>
      <c r="J79" s="56"/>
      <c r="K79" s="56"/>
    </row>
    <row r="80" spans="1:11" ht="70.150000000000006" customHeight="1">
      <c r="A80" s="54"/>
      <c r="B80" s="63"/>
      <c r="C80" s="56"/>
      <c r="D80" s="191"/>
      <c r="E80" s="192"/>
      <c r="F80" s="192"/>
      <c r="G80" s="59"/>
      <c r="H80" s="58"/>
      <c r="I80" s="57"/>
      <c r="J80" s="56"/>
      <c r="K80" s="56"/>
    </row>
    <row r="81" spans="1:11" ht="70.150000000000006" customHeight="1">
      <c r="A81" s="54"/>
      <c r="B81" s="63"/>
      <c r="C81" s="56"/>
      <c r="D81" s="191"/>
      <c r="E81" s="192"/>
      <c r="F81" s="192"/>
      <c r="G81" s="59"/>
      <c r="H81" s="58"/>
      <c r="I81" s="57"/>
      <c r="J81" s="56"/>
      <c r="K81" s="56"/>
    </row>
    <row r="82" spans="1:11" ht="70.150000000000006" customHeight="1">
      <c r="A82" s="54"/>
      <c r="B82" s="63"/>
      <c r="C82" s="56"/>
      <c r="D82" s="191"/>
      <c r="E82" s="192"/>
      <c r="F82" s="192"/>
      <c r="G82" s="59"/>
      <c r="H82" s="58"/>
      <c r="I82" s="57"/>
      <c r="J82" s="56"/>
      <c r="K82" s="56"/>
    </row>
    <row r="83" spans="1:11" ht="70.150000000000006" customHeight="1">
      <c r="A83" s="54"/>
      <c r="B83" s="63"/>
      <c r="C83" s="56"/>
      <c r="D83" s="191"/>
      <c r="E83" s="192"/>
      <c r="F83" s="192"/>
      <c r="G83" s="59"/>
      <c r="H83" s="58"/>
      <c r="I83" s="57"/>
      <c r="J83" s="56"/>
      <c r="K83" s="56"/>
    </row>
    <row r="84" spans="1:11" ht="70.150000000000006" customHeight="1">
      <c r="A84" s="54"/>
      <c r="B84" s="63"/>
      <c r="C84" s="56"/>
      <c r="D84" s="191"/>
      <c r="E84" s="192"/>
      <c r="F84" s="192"/>
      <c r="G84" s="59"/>
      <c r="H84" s="58"/>
      <c r="I84" s="57"/>
      <c r="J84" s="56"/>
      <c r="K84" s="56"/>
    </row>
    <row r="85" spans="1:11" ht="70.150000000000006" customHeight="1">
      <c r="A85" s="54"/>
      <c r="B85" s="63"/>
      <c r="C85" s="56"/>
      <c r="D85" s="191"/>
      <c r="E85" s="192"/>
      <c r="F85" s="192"/>
      <c r="G85" s="59"/>
      <c r="H85" s="58"/>
      <c r="I85" s="57"/>
      <c r="J85" s="56"/>
      <c r="K85" s="56"/>
    </row>
    <row r="86" spans="1:11" ht="70.150000000000006" customHeight="1">
      <c r="A86" s="54"/>
      <c r="B86" s="63"/>
      <c r="C86" s="56"/>
      <c r="D86" s="191"/>
      <c r="E86" s="192"/>
      <c r="F86" s="192"/>
      <c r="G86" s="59"/>
      <c r="H86" s="58"/>
      <c r="I86" s="57"/>
      <c r="J86" s="56"/>
      <c r="K86" s="56"/>
    </row>
    <row r="87" spans="1:11" ht="70.150000000000006" customHeight="1">
      <c r="A87" s="54"/>
      <c r="B87" s="63"/>
      <c r="C87" s="56"/>
      <c r="D87" s="191"/>
      <c r="E87" s="192"/>
      <c r="F87" s="192"/>
      <c r="G87" s="59"/>
      <c r="H87" s="58"/>
      <c r="I87" s="57"/>
      <c r="J87" s="56"/>
      <c r="K87" s="56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A16" sqref="A16:C1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6"/>
    <col min="11" max="11" width="18" customWidth="1"/>
  </cols>
  <sheetData>
    <row r="1" spans="1:12" s="24" customFormat="1" ht="12.75" customHeight="1">
      <c r="A1" s="30" t="s">
        <v>0</v>
      </c>
      <c r="B1" s="202"/>
      <c r="C1" s="202"/>
      <c r="D1" s="202"/>
      <c r="E1" s="31"/>
      <c r="F1" s="31"/>
      <c r="G1" s="31"/>
      <c r="H1" s="31"/>
      <c r="I1" s="31"/>
      <c r="J1" s="32"/>
      <c r="K1" s="31"/>
      <c r="L1" s="33"/>
    </row>
    <row r="2" spans="1:12" s="24" customFormat="1" ht="11.25" customHeight="1">
      <c r="A2" s="33"/>
      <c r="B2" s="203"/>
      <c r="C2" s="203"/>
      <c r="D2" s="203"/>
      <c r="E2" s="31"/>
      <c r="F2" s="31"/>
      <c r="G2" s="31"/>
      <c r="H2" s="31"/>
      <c r="I2" s="31"/>
      <c r="J2" s="32"/>
      <c r="K2" s="31"/>
      <c r="L2" s="33"/>
    </row>
    <row r="3" spans="1:12" s="25" customFormat="1" ht="15" customHeight="1">
      <c r="A3" s="34" t="s">
        <v>57</v>
      </c>
      <c r="B3" s="134" t="s">
        <v>483</v>
      </c>
      <c r="C3" s="134"/>
      <c r="D3" s="135"/>
      <c r="E3" s="35"/>
      <c r="F3" s="35"/>
      <c r="G3" s="35"/>
      <c r="H3" s="35"/>
      <c r="I3" s="136"/>
      <c r="J3" s="136"/>
      <c r="K3" s="136"/>
      <c r="L3" s="37"/>
    </row>
    <row r="4" spans="1:12" s="25" customFormat="1" ht="12.75">
      <c r="A4" s="38" t="s">
        <v>59</v>
      </c>
      <c r="B4" s="137" t="s">
        <v>484</v>
      </c>
      <c r="C4" s="138"/>
      <c r="D4" s="139"/>
      <c r="E4" s="35"/>
      <c r="F4" s="35"/>
      <c r="G4" s="35"/>
      <c r="H4" s="35"/>
      <c r="I4" s="136"/>
      <c r="J4" s="136"/>
      <c r="K4" s="136"/>
      <c r="L4" s="37"/>
    </row>
    <row r="5" spans="1:12" s="26" customFormat="1" ht="25.5">
      <c r="A5" s="38" t="s">
        <v>61</v>
      </c>
      <c r="B5" s="140" t="s">
        <v>62</v>
      </c>
      <c r="C5" s="141"/>
      <c r="D5" s="142"/>
      <c r="E5" s="39"/>
      <c r="F5" s="39"/>
      <c r="G5" s="39"/>
      <c r="H5" s="39"/>
      <c r="I5" s="143"/>
      <c r="J5" s="143"/>
      <c r="K5" s="143"/>
      <c r="L5" s="40"/>
    </row>
    <row r="6" spans="1:12" s="25" customFormat="1" ht="15" customHeight="1">
      <c r="A6" s="41" t="s">
        <v>63</v>
      </c>
      <c r="B6" s="42">
        <f>COUNTIF(J12:J17,"Pass")</f>
        <v>3</v>
      </c>
      <c r="C6" s="43" t="s">
        <v>64</v>
      </c>
      <c r="D6" s="44">
        <f>COUNTIF(J10:J736,"Pending")</f>
        <v>0</v>
      </c>
      <c r="E6" s="36"/>
      <c r="F6" s="36"/>
      <c r="G6" s="36"/>
      <c r="H6" s="36"/>
      <c r="I6" s="136"/>
      <c r="J6" s="136"/>
      <c r="K6" s="136"/>
      <c r="L6" s="37"/>
    </row>
    <row r="7" spans="1:12" s="25" customFormat="1" ht="15" customHeight="1">
      <c r="A7" s="45" t="s">
        <v>65</v>
      </c>
      <c r="B7" s="46">
        <f>COUNTIF(J12:J17,"Fail")</f>
        <v>0</v>
      </c>
      <c r="C7" s="47" t="s">
        <v>66</v>
      </c>
      <c r="D7" s="48">
        <f>COUNTA(A12:A17)-15</f>
        <v>-9</v>
      </c>
      <c r="E7" s="49"/>
      <c r="F7" s="49"/>
      <c r="G7" s="49"/>
      <c r="H7" s="49"/>
      <c r="I7" s="136"/>
      <c r="J7" s="136"/>
      <c r="K7" s="136"/>
      <c r="L7" s="37"/>
    </row>
    <row r="8" spans="1:12" s="25" customFormat="1" ht="15" customHeight="1">
      <c r="A8" s="144"/>
      <c r="B8" s="144"/>
      <c r="C8" s="144"/>
      <c r="D8" s="144"/>
      <c r="E8" s="36"/>
      <c r="F8" s="36"/>
      <c r="G8" s="36"/>
      <c r="H8" s="36"/>
      <c r="I8" s="36"/>
      <c r="J8" s="50"/>
      <c r="K8" s="50"/>
      <c r="L8" s="37"/>
    </row>
    <row r="9" spans="1:12" s="27" customFormat="1" ht="12" customHeight="1">
      <c r="A9" s="169" t="s">
        <v>67</v>
      </c>
      <c r="B9" s="171" t="s">
        <v>68</v>
      </c>
      <c r="C9" s="169" t="s">
        <v>69</v>
      </c>
      <c r="D9" s="175" t="s">
        <v>70</v>
      </c>
      <c r="E9" s="176"/>
      <c r="F9" s="176"/>
      <c r="G9" s="177"/>
      <c r="H9" s="173" t="s">
        <v>71</v>
      </c>
      <c r="I9" s="174" t="s">
        <v>72</v>
      </c>
      <c r="J9" s="174" t="s">
        <v>73</v>
      </c>
      <c r="K9" s="174" t="s">
        <v>74</v>
      </c>
      <c r="L9" s="51"/>
    </row>
    <row r="10" spans="1:12" s="25" customFormat="1" ht="12" customHeight="1">
      <c r="A10" s="170"/>
      <c r="B10" s="172"/>
      <c r="C10" s="170"/>
      <c r="D10" s="178"/>
      <c r="E10" s="179"/>
      <c r="F10" s="179"/>
      <c r="G10" s="180"/>
      <c r="H10" s="169"/>
      <c r="I10" s="169"/>
      <c r="J10" s="169"/>
      <c r="K10" s="169"/>
      <c r="L10" s="37"/>
    </row>
    <row r="11" spans="1:12" s="28" customFormat="1" ht="15">
      <c r="A11" s="14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29" customFormat="1" ht="12.75">
      <c r="A12" s="147" t="s">
        <v>485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9"/>
    </row>
    <row r="13" spans="1:12" s="29" customFormat="1" ht="76.5" outlineLevel="1">
      <c r="A13" s="54" t="s">
        <v>76</v>
      </c>
      <c r="B13" s="55" t="s">
        <v>486</v>
      </c>
      <c r="C13" s="56" t="s">
        <v>487</v>
      </c>
      <c r="D13" s="158" t="s">
        <v>488</v>
      </c>
      <c r="E13" s="151"/>
      <c r="F13" s="151"/>
      <c r="G13" s="59"/>
      <c r="H13" s="58"/>
      <c r="I13" s="60"/>
      <c r="J13" s="56" t="s">
        <v>63</v>
      </c>
      <c r="K13" s="56"/>
    </row>
    <row r="14" spans="1:12" s="29" customFormat="1" ht="12.75" outlineLevel="1">
      <c r="A14" s="201" t="s">
        <v>489</v>
      </c>
      <c r="B14" s="186"/>
      <c r="C14" s="186"/>
      <c r="D14" s="52"/>
      <c r="E14" s="52"/>
      <c r="F14" s="52"/>
      <c r="G14" s="52"/>
      <c r="H14" s="52"/>
      <c r="I14" s="52"/>
      <c r="J14" s="52"/>
      <c r="K14" s="53"/>
    </row>
    <row r="15" spans="1:12" s="29" customFormat="1" ht="63.75" customHeight="1" outlineLevel="1">
      <c r="A15" s="54" t="s">
        <v>81</v>
      </c>
      <c r="B15" s="61" t="s">
        <v>490</v>
      </c>
      <c r="C15" s="62" t="s">
        <v>491</v>
      </c>
      <c r="D15" s="191" t="s">
        <v>492</v>
      </c>
      <c r="E15" s="151"/>
      <c r="F15" s="151"/>
      <c r="G15" s="59"/>
      <c r="H15" s="58"/>
      <c r="I15" s="57"/>
      <c r="J15" s="56" t="s">
        <v>63</v>
      </c>
      <c r="K15" s="56"/>
    </row>
    <row r="16" spans="1:12" s="29" customFormat="1" ht="12.75" outlineLevel="1">
      <c r="A16" s="201" t="s">
        <v>493</v>
      </c>
      <c r="B16" s="186"/>
      <c r="C16" s="186"/>
      <c r="D16" s="52"/>
      <c r="E16" s="52"/>
      <c r="F16" s="52"/>
      <c r="G16" s="52"/>
      <c r="H16" s="52"/>
      <c r="I16" s="52"/>
      <c r="J16" s="52"/>
      <c r="K16" s="53"/>
    </row>
    <row r="17" spans="1:11" s="29" customFormat="1" ht="63.75" customHeight="1" outlineLevel="1">
      <c r="A17" s="54" t="s">
        <v>86</v>
      </c>
      <c r="B17" s="63" t="s">
        <v>490</v>
      </c>
      <c r="C17" s="56" t="s">
        <v>494</v>
      </c>
      <c r="D17" s="191" t="s">
        <v>495</v>
      </c>
      <c r="E17" s="192"/>
      <c r="F17" s="192"/>
      <c r="G17" s="59"/>
      <c r="H17" s="58"/>
      <c r="I17" s="57"/>
      <c r="J17" s="56" t="s">
        <v>63</v>
      </c>
      <c r="K17" s="5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Normal="100" workbookViewId="0">
      <selection sqref="A1:H19"/>
    </sheetView>
  </sheetViews>
  <sheetFormatPr defaultColWidth="8.75" defaultRowHeight="13.5"/>
  <cols>
    <col min="3" max="3" width="22.75" customWidth="1"/>
    <col min="7" max="7" width="27.375" customWidth="1"/>
  </cols>
  <sheetData>
    <row r="1" spans="1:8" ht="22.5">
      <c r="A1" s="2" t="s">
        <v>496</v>
      </c>
      <c r="B1" s="3"/>
      <c r="C1" s="4"/>
      <c r="D1" s="4"/>
      <c r="E1" s="4"/>
      <c r="F1" s="4"/>
      <c r="G1" s="5"/>
    </row>
    <row r="2" spans="1:8" ht="14.25" customHeight="1">
      <c r="A2" s="2"/>
      <c r="B2" s="3"/>
      <c r="C2" s="4"/>
      <c r="D2" s="4"/>
      <c r="E2" s="4"/>
      <c r="F2" s="4"/>
      <c r="G2" s="5"/>
    </row>
    <row r="3" spans="1:8" ht="14.25">
      <c r="B3" s="6" t="s">
        <v>497</v>
      </c>
      <c r="C3" s="4"/>
      <c r="D3" s="4"/>
      <c r="E3" s="4"/>
      <c r="F3" s="4"/>
      <c r="G3" s="5"/>
    </row>
    <row r="4" spans="1:8" ht="14.25">
      <c r="B4" s="6" t="s">
        <v>498</v>
      </c>
      <c r="C4" s="7"/>
      <c r="D4" s="6"/>
      <c r="E4" s="6"/>
      <c r="F4" s="6"/>
      <c r="G4" s="6"/>
    </row>
    <row r="5" spans="1:8" ht="14.25">
      <c r="A5" s="6"/>
      <c r="B5" s="6"/>
      <c r="C5" s="6"/>
      <c r="D5" s="6"/>
      <c r="E5" s="6"/>
      <c r="F5" s="6"/>
      <c r="G5" s="6"/>
    </row>
    <row r="6" spans="1:8" ht="14.25">
      <c r="A6" s="6"/>
      <c r="B6" s="6"/>
      <c r="C6" s="6"/>
      <c r="D6" s="6"/>
      <c r="E6" s="6"/>
      <c r="F6" s="6"/>
      <c r="G6" s="6"/>
    </row>
    <row r="7" spans="1:8" ht="40.15" customHeight="1">
      <c r="A7" s="6"/>
      <c r="B7" s="8" t="s">
        <v>499</v>
      </c>
      <c r="C7" s="9" t="s">
        <v>500</v>
      </c>
      <c r="D7" s="10" t="s">
        <v>63</v>
      </c>
      <c r="E7" s="9" t="s">
        <v>65</v>
      </c>
      <c r="F7" s="9" t="s">
        <v>64</v>
      </c>
      <c r="G7" s="204" t="s">
        <v>501</v>
      </c>
      <c r="H7" s="205"/>
    </row>
    <row r="8" spans="1:8" s="1" customFormat="1" ht="40.15" customHeight="1">
      <c r="A8" s="11"/>
      <c r="B8" s="12">
        <v>1</v>
      </c>
      <c r="C8" s="13" t="s">
        <v>502</v>
      </c>
      <c r="D8" s="12">
        <f>COUNTIF([2]AUTH!G10:G500,"Pass")</f>
        <v>0</v>
      </c>
      <c r="E8" s="12">
        <f>COUNTIF([2]AUTH!G10:G500,"Fail")</f>
        <v>0</v>
      </c>
      <c r="F8" s="12">
        <f>COUNTIF([2]AUTH!G10:G500,"Pending")</f>
        <v>26</v>
      </c>
      <c r="G8" s="206">
        <v>26</v>
      </c>
      <c r="H8" s="206"/>
    </row>
    <row r="9" spans="1:8" s="1" customFormat="1" ht="40.15" customHeight="1">
      <c r="A9" s="11"/>
      <c r="B9" s="14">
        <v>2</v>
      </c>
      <c r="C9" s="15" t="s">
        <v>503</v>
      </c>
      <c r="D9" s="14">
        <f>COUNTIF([2]HOME!G10:G500,"Pass")</f>
        <v>0</v>
      </c>
      <c r="E9" s="14">
        <f>COUNTIF([2]HOME!G10:G500,"Fail")</f>
        <v>0</v>
      </c>
      <c r="F9" s="14">
        <f>COUNTIF([2]HOME!G10:G500,"Pending")</f>
        <v>17</v>
      </c>
      <c r="G9" s="207">
        <v>17</v>
      </c>
      <c r="H9" s="207"/>
    </row>
    <row r="10" spans="1:8" s="1" customFormat="1" ht="40.15" customHeight="1">
      <c r="A10" s="11"/>
      <c r="B10" s="12">
        <v>3</v>
      </c>
      <c r="C10" s="13" t="s">
        <v>504</v>
      </c>
      <c r="D10" s="12">
        <f>COUNTIF([2]FAV!G10:G500,"Pass")</f>
        <v>0</v>
      </c>
      <c r="E10" s="12">
        <f>COUNTIF([2]FAV!G10:G500,"Fail")</f>
        <v>0</v>
      </c>
      <c r="F10" s="12">
        <f>COUNTIF([2]FAV!G10:G500,"Pending")</f>
        <v>8</v>
      </c>
      <c r="G10" s="206">
        <v>8</v>
      </c>
      <c r="H10" s="206"/>
    </row>
    <row r="11" spans="1:8" s="1" customFormat="1" ht="40.15" customHeight="1">
      <c r="A11" s="11"/>
      <c r="B11" s="14">
        <v>4</v>
      </c>
      <c r="C11" s="15" t="s">
        <v>505</v>
      </c>
      <c r="D11" s="14">
        <f>COUNTIF([2]BOOKING!G10:G500,"Pass")</f>
        <v>0</v>
      </c>
      <c r="E11" s="14">
        <f>COUNTIF([2]BOOKING!G10:G500,"Fail")</f>
        <v>0</v>
      </c>
      <c r="F11" s="14">
        <f>COUNTIF([2]BOOKING!G10:G500,"Pending")</f>
        <v>18</v>
      </c>
      <c r="G11" s="207">
        <v>18</v>
      </c>
      <c r="H11" s="207"/>
    </row>
    <row r="12" spans="1:8" s="1" customFormat="1" ht="40.15" customHeight="1">
      <c r="A12" s="11"/>
      <c r="B12" s="12">
        <v>5</v>
      </c>
      <c r="C12" s="13" t="s">
        <v>506</v>
      </c>
      <c r="D12" s="12">
        <f>COUNTIF([2]CANCEL!G10:G500,"Pass")</f>
        <v>0</v>
      </c>
      <c r="E12" s="12">
        <f>COUNTIF([2]CANCEL!G10:G500,"Fail")</f>
        <v>0</v>
      </c>
      <c r="F12" s="12">
        <f>COUNTIF([2]CANCEL!G10:G500,"Pending")</f>
        <v>10</v>
      </c>
      <c r="G12" s="206">
        <v>10</v>
      </c>
      <c r="H12" s="206"/>
    </row>
    <row r="13" spans="1:8" s="1" customFormat="1" ht="40.15" customHeight="1">
      <c r="A13" s="11"/>
      <c r="B13" s="14">
        <v>6</v>
      </c>
      <c r="C13" s="15" t="s">
        <v>507</v>
      </c>
      <c r="D13" s="14">
        <f>COUNTIF([2]REVIEW!G10:G500,"Pass")</f>
        <v>0</v>
      </c>
      <c r="E13" s="14">
        <f>COUNTIF([2]REVIEW!G10:G500,"Fail")</f>
        <v>0</v>
      </c>
      <c r="F13" s="14">
        <f>COUNTIF([2]REVIEW!G10:G500,"Pending")</f>
        <v>12</v>
      </c>
      <c r="G13" s="207">
        <v>12</v>
      </c>
      <c r="H13" s="207"/>
    </row>
    <row r="14" spans="1:8" s="1" customFormat="1" ht="40.15" customHeight="1">
      <c r="A14" s="11"/>
      <c r="B14" s="12">
        <v>7</v>
      </c>
      <c r="C14" s="13" t="s">
        <v>508</v>
      </c>
      <c r="D14" s="12">
        <f>COUNTIF([2]ADMIN!G10:G500,"Pass")</f>
        <v>0</v>
      </c>
      <c r="E14" s="12">
        <f>COUNTIF([2]ADMIN!G10:G500,"Fail")</f>
        <v>0</v>
      </c>
      <c r="F14" s="12">
        <f>COUNTIF([2]ADMIN!G10:G500,"Pending")</f>
        <v>16</v>
      </c>
      <c r="G14" s="206">
        <v>14</v>
      </c>
      <c r="H14" s="206"/>
    </row>
    <row r="15" spans="1:8" ht="40.15" customHeight="1">
      <c r="A15" s="6"/>
      <c r="B15" s="14">
        <v>8</v>
      </c>
      <c r="C15" s="15" t="s">
        <v>509</v>
      </c>
      <c r="D15" s="14">
        <f>COUNTIF([2]VENUE!G10:G500,"Pass")</f>
        <v>0</v>
      </c>
      <c r="E15" s="14">
        <f>COUNTIF([2]VENUE!G10:G500,"Fail")</f>
        <v>0</v>
      </c>
      <c r="F15" s="14">
        <f>COUNTIF([2]VENUE!G10:G500,"Pending")</f>
        <v>6</v>
      </c>
      <c r="G15" s="207">
        <v>6</v>
      </c>
      <c r="H15" s="207"/>
    </row>
    <row r="16" spans="1:8" ht="40.15" customHeight="1">
      <c r="A16" s="6"/>
      <c r="B16" s="16"/>
      <c r="C16" s="17" t="s">
        <v>510</v>
      </c>
      <c r="D16" s="18">
        <f>SUM(D6:D15)</f>
        <v>0</v>
      </c>
      <c r="E16" s="18">
        <f>SUM(E6:E15)</f>
        <v>0</v>
      </c>
      <c r="F16" s="18">
        <f>SUM(F6:F15)</f>
        <v>113</v>
      </c>
      <c r="G16" s="208">
        <f>SUM(G6:G15)</f>
        <v>111</v>
      </c>
      <c r="H16" s="209"/>
    </row>
    <row r="17" spans="1:7" ht="14.25">
      <c r="A17" s="6"/>
      <c r="B17" s="19"/>
      <c r="C17" s="6"/>
      <c r="D17" s="20"/>
      <c r="E17" s="21"/>
      <c r="F17" s="21"/>
      <c r="G17" s="21"/>
    </row>
    <row r="18" spans="1:7" ht="14.25">
      <c r="A18" s="6"/>
      <c r="B18" s="6"/>
      <c r="C18" s="6" t="s">
        <v>511</v>
      </c>
      <c r="D18" s="6"/>
      <c r="E18" s="22">
        <f>(D16+E16)*100/G16</f>
        <v>0</v>
      </c>
      <c r="F18" s="6" t="s">
        <v>512</v>
      </c>
      <c r="G18" s="23"/>
    </row>
    <row r="19" spans="1:7" ht="14.25">
      <c r="A19" s="6"/>
      <c r="B19" s="6"/>
      <c r="C19" s="6" t="s">
        <v>513</v>
      </c>
      <c r="D19" s="6"/>
      <c r="E19" s="22">
        <f>D16*100/G16</f>
        <v>0</v>
      </c>
      <c r="F19" s="6" t="s">
        <v>512</v>
      </c>
      <c r="G19" s="23"/>
    </row>
  </sheetData>
  <mergeCells count="10">
    <mergeCell ref="G12:H12"/>
    <mergeCell ref="G13:H13"/>
    <mergeCell ref="G14:H14"/>
    <mergeCell ref="G15:H15"/>
    <mergeCell ref="G16:H16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zoomScale="115" zoomScaleNormal="115" workbookViewId="0">
      <selection activeCell="H4" sqref="H4"/>
    </sheetView>
  </sheetViews>
  <sheetFormatPr defaultRowHeight="13.5"/>
  <cols>
    <col min="2" max="2" width="13.375" customWidth="1"/>
    <col min="3" max="3" width="19.875" customWidth="1"/>
    <col min="4" max="4" width="11.875" customWidth="1"/>
    <col min="5" max="6" width="11.5" customWidth="1"/>
    <col min="7" max="7" width="34.5" customWidth="1"/>
    <col min="8" max="8" width="40.375" customWidth="1"/>
    <col min="9" max="9" width="45.875" customWidth="1"/>
  </cols>
  <sheetData>
    <row r="1" spans="1:10" ht="22.5">
      <c r="A1" s="251" t="s">
        <v>536</v>
      </c>
      <c r="B1" s="3"/>
      <c r="C1" s="4"/>
      <c r="D1" s="4"/>
      <c r="E1" s="4"/>
      <c r="F1" s="4"/>
      <c r="G1" s="4"/>
      <c r="H1" s="4"/>
      <c r="I1" s="4"/>
    </row>
    <row r="2" spans="1:10" ht="22.5">
      <c r="A2" s="2"/>
      <c r="B2" s="3"/>
      <c r="C2" s="4"/>
      <c r="D2" s="4"/>
      <c r="E2" s="4"/>
      <c r="F2" s="4"/>
      <c r="G2" s="4"/>
      <c r="H2" s="4"/>
      <c r="I2" s="4"/>
    </row>
    <row r="3" spans="1:10" ht="14.25">
      <c r="B3" s="6" t="s">
        <v>497</v>
      </c>
      <c r="C3" s="212" t="s">
        <v>519</v>
      </c>
      <c r="D3" s="4"/>
      <c r="E3" s="4"/>
      <c r="F3" s="4"/>
      <c r="G3" s="4"/>
      <c r="H3" s="4"/>
      <c r="I3" s="4"/>
    </row>
    <row r="4" spans="1:10" ht="14.25">
      <c r="B4" s="6"/>
      <c r="C4" s="250"/>
      <c r="D4" s="6"/>
      <c r="E4" s="221"/>
      <c r="F4" s="6"/>
      <c r="G4" s="6"/>
      <c r="H4" s="6"/>
      <c r="I4" s="6"/>
    </row>
    <row r="5" spans="1:10" ht="14.25">
      <c r="B5" s="6"/>
      <c r="C5" s="211"/>
      <c r="D5" s="6"/>
      <c r="E5" s="6"/>
      <c r="F5" s="6"/>
      <c r="G5" s="6"/>
      <c r="H5" s="6"/>
      <c r="I5" s="6"/>
    </row>
    <row r="6" spans="1:10" ht="14.25" customHeight="1">
      <c r="A6" s="6"/>
      <c r="B6" s="6"/>
      <c r="C6" s="6"/>
      <c r="D6" s="220"/>
      <c r="E6" s="220"/>
      <c r="F6" s="220"/>
      <c r="G6" s="220"/>
      <c r="H6" s="220"/>
      <c r="I6" s="220"/>
    </row>
    <row r="7" spans="1:10" ht="14.25" customHeight="1">
      <c r="A7" s="6"/>
      <c r="B7" s="6"/>
      <c r="C7" s="6"/>
      <c r="D7" s="220"/>
      <c r="E7" s="220"/>
      <c r="F7" s="220"/>
      <c r="G7" s="220"/>
      <c r="H7" s="220"/>
      <c r="I7" s="220"/>
    </row>
    <row r="8" spans="1:10" ht="18.75" customHeight="1">
      <c r="A8" s="6"/>
      <c r="B8" s="213" t="s">
        <v>498</v>
      </c>
      <c r="C8" s="219" t="s">
        <v>524</v>
      </c>
      <c r="D8" s="217" t="s">
        <v>520</v>
      </c>
      <c r="E8" s="214" t="s">
        <v>521</v>
      </c>
      <c r="F8" s="214" t="s">
        <v>522</v>
      </c>
      <c r="G8" s="214" t="s">
        <v>523</v>
      </c>
      <c r="H8" s="232" t="s">
        <v>529</v>
      </c>
      <c r="I8" s="232"/>
    </row>
    <row r="9" spans="1:10" ht="15.75" customHeight="1">
      <c r="A9" s="11"/>
      <c r="B9" s="249" t="s">
        <v>518</v>
      </c>
      <c r="C9" s="231" t="s">
        <v>514</v>
      </c>
      <c r="D9" s="223">
        <v>12</v>
      </c>
      <c r="E9" s="225">
        <v>0</v>
      </c>
      <c r="F9" s="210">
        <v>1</v>
      </c>
      <c r="G9" s="244" t="s">
        <v>533</v>
      </c>
      <c r="H9" s="245" t="s">
        <v>533</v>
      </c>
      <c r="I9" s="252"/>
      <c r="J9" s="237"/>
    </row>
    <row r="10" spans="1:10" ht="16.5" customHeight="1">
      <c r="A10" s="11"/>
      <c r="B10" s="247"/>
      <c r="C10" s="231" t="s">
        <v>516</v>
      </c>
      <c r="D10" s="224">
        <v>92</v>
      </c>
      <c r="E10" s="222">
        <v>4</v>
      </c>
      <c r="F10" s="215">
        <v>0.96</v>
      </c>
      <c r="G10" s="234" t="s">
        <v>525</v>
      </c>
      <c r="H10" s="238" t="s">
        <v>532</v>
      </c>
      <c r="I10" s="252"/>
      <c r="J10" s="237"/>
    </row>
    <row r="11" spans="1:10" ht="15.75" customHeight="1">
      <c r="A11" s="11"/>
      <c r="B11" s="247"/>
      <c r="C11" s="231" t="s">
        <v>515</v>
      </c>
      <c r="D11" s="224">
        <v>137</v>
      </c>
      <c r="E11" s="216">
        <v>29</v>
      </c>
      <c r="F11" s="228">
        <v>0.79</v>
      </c>
      <c r="G11" s="235" t="s">
        <v>526</v>
      </c>
      <c r="H11" s="240" t="s">
        <v>531</v>
      </c>
      <c r="I11" s="252"/>
      <c r="J11" s="237"/>
    </row>
    <row r="12" spans="1:10" ht="16.5" customHeight="1">
      <c r="A12" s="11"/>
      <c r="B12" s="247"/>
      <c r="C12" s="231" t="s">
        <v>517</v>
      </c>
      <c r="D12" s="224">
        <v>541</v>
      </c>
      <c r="E12" s="226">
        <v>123</v>
      </c>
      <c r="F12" s="229">
        <v>0.77</v>
      </c>
      <c r="G12" s="239" t="s">
        <v>527</v>
      </c>
      <c r="H12" s="243" t="s">
        <v>530</v>
      </c>
      <c r="I12" s="252"/>
      <c r="J12" s="237"/>
    </row>
    <row r="13" spans="1:10" ht="15" customHeight="1">
      <c r="A13" s="11"/>
      <c r="B13" s="248"/>
      <c r="C13" s="231" t="s">
        <v>535</v>
      </c>
      <c r="D13" s="224">
        <v>167</v>
      </c>
      <c r="E13" s="227">
        <v>5</v>
      </c>
      <c r="F13" s="230">
        <v>0.97</v>
      </c>
      <c r="G13" s="236" t="s">
        <v>528</v>
      </c>
      <c r="H13" s="246" t="s">
        <v>534</v>
      </c>
      <c r="I13" s="252"/>
    </row>
    <row r="14" spans="1:10" ht="14.25">
      <c r="A14" s="6"/>
      <c r="B14" s="16"/>
      <c r="C14" s="17" t="s">
        <v>510</v>
      </c>
      <c r="D14" s="218">
        <f>SUM(D7:D13)</f>
        <v>949</v>
      </c>
      <c r="E14" s="18">
        <f>SUM(E7:E13)</f>
        <v>161</v>
      </c>
      <c r="F14" s="218"/>
      <c r="G14" s="242"/>
      <c r="H14" s="241"/>
      <c r="I14" s="233"/>
    </row>
    <row r="15" spans="1:10" ht="14.25">
      <c r="A15" s="6"/>
      <c r="B15" s="19"/>
      <c r="C15" s="6"/>
      <c r="D15" s="20"/>
      <c r="E15" s="21"/>
      <c r="F15" s="21"/>
      <c r="G15" s="21"/>
      <c r="H15" s="21"/>
      <c r="I15" s="21"/>
    </row>
    <row r="16" spans="1:10" ht="14.25">
      <c r="A16" s="6"/>
      <c r="B16" s="6"/>
      <c r="C16" s="6"/>
      <c r="D16" s="22"/>
      <c r="E16" s="22"/>
      <c r="F16" s="22"/>
      <c r="G16" s="6"/>
      <c r="H16" s="6"/>
      <c r="I16" s="6"/>
    </row>
    <row r="17" spans="1:9" ht="14.25">
      <c r="A17" s="6"/>
      <c r="B17" s="6"/>
      <c r="C17" s="6"/>
      <c r="D17" s="6"/>
      <c r="F17" s="22"/>
      <c r="G17" s="6"/>
      <c r="H17" s="6"/>
      <c r="I17" s="6"/>
    </row>
  </sheetData>
  <mergeCells count="2">
    <mergeCell ref="B9:B13"/>
    <mergeCell ref="I9:I1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Samples</vt:lpstr>
      <vt:lpstr>Test Report</vt:lpstr>
      <vt:lpstr>pytest-cov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2006-08-02T10:15:00Z</cp:lastPrinted>
  <dcterms:created xsi:type="dcterms:W3CDTF">2002-07-27T17:17:00Z</dcterms:created>
  <dcterms:modified xsi:type="dcterms:W3CDTF">2026-04-28T08:01:48Z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
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556" tabRatio="821" activeTab="10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  <sheet name="pytest-cov" sheetId="135" r:id="rId13"/>
  </sheets>
  <externalReferences>
    <externalReference r:id="rId14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<sst xmlns="http://schemas.openxmlformats.org/spreadsheetml/2006/main" count="977" uniqueCount="586">
  <si>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</si>
  <si>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</si>
  <si>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</si>
  <si>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</si>
  <si>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</si>
  <si>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</si>
  <si>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</si>
  <si>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</si>
  <si>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</si>
  <si>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</si>
  <si>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</si>
  <si>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</si>
  <si>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</si>
  <si>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</si>
  <si>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</si>
  <si>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</si>
  <si>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</si>
  <si>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</si>
  <si>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</si>
  <si>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</si>
  <si>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</si>
  <si>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</si>
  <si>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</si>
  <si>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</si>
  <si>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</si>
  <si>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</si>
  <si>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</si>
  <si>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</si>
  <si>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</si>
  <si>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</si>
  <si>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</si>
  <si>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</si>
  <si>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</si>
  <si>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</si>
  <si>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</si>
  <si>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</si>
  <si>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</si>
  <si>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</si>
  <si>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</si>
  <si>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</si>
  <si>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</si>
  <si>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</si>
  <si>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</si>
  <si>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</si>
  <si>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</si>
  <si>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</si>
  <si>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</si>
  <si>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</si>
  <si>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</si>
  <si>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</si>
  <si>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</si>
  <si>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</si>
  <si>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</si>
  <si>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</si>
  <si>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</si>
  <si>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</si>
  <si>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</si>
  <si>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</si>
  <si>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</si>
  <si>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</si>
  <si>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</si>
  <si>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</si>
  <si>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</si>
  <si>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</si>
  <si>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</si>
  <si>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</si>
  <si>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</si>
  <si>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</si>
  <si>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</si>
  <si>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</si>
  <si>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</si>
  <si>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</si>
  <si>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</si>
  <si>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</si>
  <si>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</si>
  <si>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</si>
  <si>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</si>
  <si>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</si>
  <si>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</si>
  <si>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</si>
  <si>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</si>
  <si>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</si>
  <si>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</si>
  <si>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</si>
  <si>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</si>
  <si>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</si>
  <si>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</si>
  <si>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</si>
  <si>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</si>
  <si>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</si>
  <si>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</si>
  <si>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</si>
  <si>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</si>
  <si>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</si>
  <si>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</si>
  <si>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</si>
  <si>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</si>
  <si>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</si>
  <si>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</si>
  <si>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</si>
  <si>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</si>
  <si>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</si>
  <si>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</si>
  <si>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</si>
  <si>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</si>
  <si>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</si>
  <si>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</si>
  <si>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</si>
  <si>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</si>
  <si>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</si>
  <si>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</si>
  <si>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</si>
  <si>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</si>
  <si>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</si>
  <si>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</si>
  <si>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</si>
  <si>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</si>
  <si>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</si>
  <si>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</si>
  <si>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</si>
  <si>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</si>
  <si>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</si>
  <si>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</si>
  <si>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</si>
  <si>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</si>
  <si>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</si>
  <si>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</si>
  <si>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</si>
  <si>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</si>
  <si>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</si>
  <si>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</si>
  <si>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</si>
  <si>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</si>
  <si>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</si>
  <si>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</si>
  <si>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</si>
  <si>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</si>
  <si>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</si>
  <si>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</si>
  <si>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</si>
  <si>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</si>
  <si>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</si>
  <si>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</si>
  <si>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</si>
  <si>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</si>
  <si>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</si>
  <si>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</si>
  <si>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</si>
  <si>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</si>
  <si>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</si>
  <si>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</si>
  <si>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</si>
  <si>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</si>
  <si>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</si>
  <si>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</si>
  <si>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</si>
  <si>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</si>
  <si>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</si>
  <si>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</si>
  <si>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</si>
  <si>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</si>
  <si>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</si>
  <si>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</si>
  <si>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</si>
  <si>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</si>
  <si>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</si>
  <si>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</si>
  <si>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</si>
  <si>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</si>
  <si>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</si>
  <si>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</si>
  <si>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</si>
  <si>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</si>
  <si>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</si>
  <si>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</si>
  <si>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</si>
  <si>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</si>
  <si>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</si>
  <si>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</si>
  <si>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</si>
  <si>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</si>
  <si>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</si>
  <si>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</si>
  <si>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</si>
  <si>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</si>
  <si>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</si>
  <si>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</si>
  <si>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</si>
  <si>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</si>
  <si>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</si>
  <si>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</si>
  <si>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</si>
  <si>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</si>
  <si>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</si>
  <si>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</si>
  <si>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</si>
  <si>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</si>
  <si>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</si>
  <si>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</si>
  <si>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</si>
  <si>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</si>
  <si>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</si>
  <si>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</si>
  <si>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</si>
  <si>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</si>
  <si>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</si>
  <si>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</si>
  <si>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</si>
  <si>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</si>
  <si>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</si>
  <si>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</si>
  <si>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</si>
  <si>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</si>
  <si>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</si>
  <si>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</si>
  <si>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</si>
  <si>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</si>
  <si>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</si>
  <si>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</si>
  <si>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</si>
  <si>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</si>
  <si>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</si>
  <si>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</si>
  <si>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</si>
  <si>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</si>
  <si>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</si>
  <si>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</si>
  <si>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</si>
  <si>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</si>
  <si>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</si>
  <si>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</si>
  <si>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</si>
  <si>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</si>
  <si>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</si>
  <si>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</si>
  <si>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</si>
  <si>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</si>
  <si>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</si>
  <si>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</si>
  <si>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</si>
  <si>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</si>
  <si>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</si>
  <si>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</si>
  <si>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</si>
  <si>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</si>
  <si>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</si>
  <si>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</si>
  <si>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</si>
  <si>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</si>
  <si>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</si>
  <si>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</si>
  <si>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</si>
  <si>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</si>
  <si>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</si>
  <si>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</si>
  <si>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</si>
  <si>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</si>
  <si>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</si>
  <si>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</si>
  <si>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</si>
  <si>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</si>
  <si>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</si>
  <si>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</si>
  <si>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</si>
  <si>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</si>
  <si>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</si>
  <si>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</si>
  <si>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</si>
  <si>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</si>
  <si>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</si>
  <si>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</si>
  <si>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</si>
  <si>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</si>
  <si>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</si>
  <si>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</si>
  <si>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</si>
  <si>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</si>
  <si>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</si>
  <si>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</si>
  <si>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</si>
  <si>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</si>
  <si>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</si>
  <si>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</si>
  <si>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</si>
  <si>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</si>
  <si>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</si>
  <si>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</si>
  <si>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</si>
  <si>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</si>
  <si>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</si>
  <si>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</si>
  <si>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</si>
  <si>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</si>
  <si>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</si>
  <si>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</si>
  <si>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</si>
  <si>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</si>
  <si>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</si>
  <si>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</si>
  <si>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</si>
  <si>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</si>
  <si>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</si>
  <si>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</si>
  <si>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</si>
  <si>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</si>
  <si>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</si>
  <si>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</si>
  <si>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</si>
  <si>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</si>
  <si>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</si>
  <si>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</si>
  <si>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</si>
  <si>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</si>
  <si>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</si>
  <si>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</si>
  <si>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</si>
  <si>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</si>
  <si>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</si>
  <si>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</si>
  <si>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</si>
  <si>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</si>
  <si>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</si>
  <si>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</si>
  <si>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</si>
  <si>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</si>
  <si>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</si>
  <si>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</si>
  <si>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</si>
  <si>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</si>
  <si>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</si>
  <si>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</si>
  <si>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</si>
  <si>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</si>
  <si>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</si>
  <si>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</si>
  <si>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</si>
  <si>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</si>
  <si>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</si>
  <si>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</si>
  <si>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</si>
  <si>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</si>
  <si>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</si>
  <si>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</si>
  <si>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</si>
  <si>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</si>
  <si>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</si>
  <si>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</si>
  <si>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</si>
  <si>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</si>
  <si>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</si>
  <si>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</si>
  <si>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</si>
  <si>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</si>
  <si>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</si>
  <si>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</si>
  <si>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</si>
  <si>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</si>
  <si>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</si>
  <si>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</si>
  <si>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</si>
  <si>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</si>
  <si>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</si>
  <si>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</si>
  <si>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</si>
  <si>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</si>
  <si>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</si>
  <si>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</si>
  <si>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</si>
  <si>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</si>
  <si>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</si>
  <si>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</si>
  <si>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</si>
  <si>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</si>
  <si>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</si>
  <si>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</si>
  <si>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</si>
  <si>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</si>
  <si>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</si>
  <si>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</si>
  <si>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</si>
  <si>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</si>
  <si>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</si>
  <si>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</si>
  <si>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</si>
  <si>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</si>
  <si>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</si>
  <si>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</si>
  <si>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</si>
  <si>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</si>
  <si>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</si>
  <si>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</si>
  <si>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</si>
  <si>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</si>
  <si>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</si>
  <si>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</si>
  <si>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</si>
  <si>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</si>
  <si>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</si>
  <si>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</si>
  <si>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</si>
  <si>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</si>
  <si>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</si>
  <si>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</si>
  <si>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</si>
  <si>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</si>
  <si>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</si>
  <si>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</si>
  <si>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</si>
  <si>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</si>
  <si>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</si>
  <si>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</si>
  <si>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</si>
  <si>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</si>
  <si>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</si>
  <si>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</si>
  <si>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</si>
  <si>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</si>
  <si>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</si>
  <si>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</si>
  <si>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</si>
  <si>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</si>
  <si>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</si>
  <si>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</si>
  <si>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</si>
  <si>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</si>
  <si>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</si>
  <si>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</si>
  <si>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</si>
  <si>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</si>
  <si>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</si>
  <si>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</si>
  <si>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</si>
  <si>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</si>
  <si>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</si>
  <si>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</si>
  <si>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</si>
  <si>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</si>
  <si>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</si>
  <si>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</si>
  <si>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</si>
  <si>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</si>
  <si>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</si>
  <si>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</si>
  <si>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</si>
  <si>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</si>
  <si>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</si>
  <si>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</si>
  <si>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</si>
  <si>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</si>
  <si>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</si>
  <si>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</si>
  <si>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</si>
  <si>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</si>
  <si>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</si>
  <si>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</si>
  <si>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</si>
  <si>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</si>
  <si>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</si>
  <si>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</si>
  <si>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</si>
  <si>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</si>
  <si>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</si>
  <si>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</si>
  <si>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</si>
  <si>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</si>
  <si>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</si>
  <si>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</si>
  <si>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</si>
  <si>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</si>
  <si>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</si>
  <si>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</si>
  <si>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</si>
  <si>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</si>
  <si>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</si>
  <si>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</si>
  <si>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</si>
  <si>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</si>
  <si>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</si>
  <si>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</si>
  <si>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</si>
  <si>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</si>
  <si>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</si>
  <si>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</si>
  <si>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</si>
  <si>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</si>
  <si>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</si>
  <si>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</si>
  <si>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</si>
  <si>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</si>
  <si>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</si>
  <si>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</si>
  <si>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</si>
  <si>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</si>
  <si>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</si>
  <si>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</si>
  <si>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</si>
  <si>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</si>
  <si>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</si>
  <si>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</si>
  <si>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</si>
  <si>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</si>
  <si>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</si>
  <si>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</si>
  <si>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</si>
  <si>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</si>
  <si>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</si>
  <si>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</si>
  <si>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</si>
  <si>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</si>
  <si>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</si>
  <si>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</si>
  <si>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</si>
  <si>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</si>
  <si>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</si>
  <si>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</si>
  <si>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</si>
  <si>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</si>
  <si>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</si>
  <si>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</si>
  <si>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</si>
  <si>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</si>
  <si>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</si>
  <si>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</si>
  <si>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</si>
  <si>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</si>
  <si>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</si>
  <si>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</si>
  <si>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</si>
  <si>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</si>
  <si>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</si>
  <si>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</si>
  <si>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</si>
  <si>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</si>
  <si>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</si>
  <si>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</si>
  <si>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</si>
  <si>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</si>
  <si>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</si>
  <si>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</si>
  <si>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</si>
  <si>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</si>
  <si>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</si>
  <si>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</si>
  <si>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</si>
  <si>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</si>
  <si>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</si>
  <si>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</si>
  <si>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</si>
  <si>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</si>
  <si>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</si>
  <si>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</si>
  <si>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</si>
  <si>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</si>
  <si>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</si>
  <si>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</si>
  <si>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</si>
  <si>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</si>
  <si>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</si>
  <si>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</si>
  <si>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</si>
  <si>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</si>
  <si>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</si>
  <si>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</si>
  <si>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</si>
  <si>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</si>
  <si>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</si>
  <si>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</si>
  <si>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</si>
  <si>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</si>
  <si>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</si>
  <si>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</si>
  <si>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28/4/2026</t>
  </si>
  <si>
    <t>__init__.py</t>
  </si>
  <si>
    <t>None</t>
  </si>
  <si>
    <t>admin.py</t>
  </si>
  <si>
    <t>143-146</t>
  </si>
  <si>
    <t>admin (143 - 146)</t>
  </si>
  <si>
    <t>dao.py</t>
  </si>
  <si>
    <t xml:space="preserve">11, 16, 196, 295 - 335  </t>
  </si>
  <si>
    <t>auth (11); booking (16); review (196); cancel (295 - 335)</t>
  </si>
  <si>
    <t>index.py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</si>
  <si>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</si>
  <si>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</si>
  <si>
    <t>models.py</t>
  </si>
  <si>
    <t>182, 191, 218-220</t>
  </si>
  <si>
    <t>review (182, 191)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</si>
</sst>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#.##000_ ;_ * \-#,###.##000_ ;_ * &quot;-&quot;??_ ;_ @_ "/>
    <numFmt numFmtId="177" formatCode="_-* #,###.##000\ &quot;₫&quot;_-;\-* #,###.##000\ &quot;₫&quot;_-;_-* &quot;-&quot;??\ &quot;₫&quot;_-;_-@_-"/>
    <numFmt numFmtId="178" formatCode="_ * #.##0_ ;_ * \-#.##0_ ;_ * &quot;-&quot;_ ;_ @_ "/>
    <numFmt numFmtId="179" formatCode="_-* #.##0\ &quot;₫&quot;_-;\-* #.##0\ &quot;₫&quot;_-;_-* &quot;-&quot;\ &quot;₫&quot;_-;_-@_-"/>
    <numFmt numFmtId="180" formatCode="[$-409]d\-mmm\-yy;@"/>
    <numFmt numFmtId="181" formatCode="0.000"/>
    <numFmt numFmtId="182" formatCode="dd/mm/yyyy;@"/>
  </numFmts>
  <fonts count="65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81688894314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98474074526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6"/>
      </top>
      <bottom style="thin">
        <color theme="0" tint="-0.349986266670736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6"/>
      </left>
      <right style="thin">
        <color theme="0" tint="-0.349986266670736"/>
      </right>
      <top style="thin">
        <color theme="0" tint="-0.349986266670736"/>
      </top>
      <bottom style="thin">
        <color theme="0" tint="-0.349986266670736"/>
      </bottom>
      <diagonal/>
    </border>
    <border>
      <left style="thin">
        <color theme="0" tint="-0.349986266670736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6"/>
      </top>
      <bottom style="thin">
        <color theme="0" tint="-0.349986266670736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6"/>
      </top>
      <bottom style="thin">
        <color theme="0" tint="-0.149998474074526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98474074526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41" fillId="0" borderId="0" applyFont="0" applyFill="0" applyBorder="0" applyAlignment="0" applyProtection="0">
      <alignment vertical="center"/>
    </xf>
    <xf numFmtId="177" fontId="41" fillId="0" borderId="0" applyFont="0" applyFill="0" applyBorder="0" applyAlignment="0" applyProtection="0">
      <alignment vertical="center"/>
    </xf>
    <xf numFmtId="9" fontId="41" fillId="0" borderId="0" applyFont="0" applyFill="0" applyBorder="0" applyAlignment="0" applyProtection="0">
      <alignment vertical="center"/>
    </xf>
    <xf numFmtId="178" fontId="41" fillId="0" borderId="0" applyFont="0" applyFill="0" applyBorder="0" applyAlignment="0" applyProtection="0">
      <alignment vertical="center"/>
    </xf>
    <xf numFmtId="179" fontId="41" fillId="0" borderId="0" applyFon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1" fillId="13" borderId="65" applyNumberFormat="0" applyFon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66" applyNumberFormat="0" applyFill="0" applyAlignment="0" applyProtection="0">
      <alignment vertical="center"/>
    </xf>
    <xf numFmtId="0" fontId="48" fillId="0" borderId="66" applyNumberFormat="0" applyFill="0" applyAlignment="0" applyProtection="0">
      <alignment vertical="center"/>
    </xf>
    <xf numFmtId="0" fontId="49" fillId="0" borderId="67" applyNumberFormat="0" applyFill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14" borderId="68" applyNumberFormat="0" applyAlignment="0" applyProtection="0">
      <alignment vertical="center"/>
    </xf>
    <xf numFmtId="0" fontId="51" fillId="15" borderId="69" applyNumberFormat="0" applyAlignment="0" applyProtection="0">
      <alignment vertical="center"/>
    </xf>
    <xf numFmtId="0" fontId="52" fillId="15" borderId="68" applyNumberFormat="0" applyAlignment="0" applyProtection="0">
      <alignment vertical="center"/>
    </xf>
    <xf numFmtId="0" fontId="53" fillId="16" borderId="70" applyNumberFormat="0" applyAlignment="0" applyProtection="0">
      <alignment vertical="center"/>
    </xf>
    <xf numFmtId="0" fontId="54" fillId="0" borderId="71" applyNumberFormat="0" applyFill="0" applyAlignment="0" applyProtection="0">
      <alignment vertical="center"/>
    </xf>
    <xf numFmtId="0" fontId="55" fillId="0" borderId="72" applyNumberFormat="0" applyFill="0" applyAlignment="0" applyProtection="0">
      <alignment vertical="center"/>
    </xf>
    <xf numFmtId="0" fontId="56" fillId="17" borderId="0" applyNumberFormat="0" applyBorder="0" applyAlignment="0" applyProtection="0">
      <alignment vertical="center"/>
    </xf>
    <xf numFmtId="0" fontId="57" fillId="18" borderId="0" applyNumberFormat="0" applyBorder="0" applyAlignment="0" applyProtection="0">
      <alignment vertical="center"/>
    </xf>
    <xf numFmtId="0" fontId="58" fillId="19" borderId="0" applyNumberFormat="0" applyBorder="0" applyAlignment="0" applyProtection="0">
      <alignment vertical="center"/>
    </xf>
    <xf numFmtId="0" fontId="59" fillId="20" borderId="0" applyNumberFormat="0" applyBorder="0" applyAlignment="0" applyProtection="0">
      <alignment vertical="center"/>
    </xf>
    <xf numFmtId="0" fontId="60" fillId="21" borderId="0" applyNumberFormat="0" applyBorder="0" applyAlignment="0" applyProtection="0">
      <alignment vertical="center"/>
    </xf>
    <xf numFmtId="0" fontId="60" fillId="22" borderId="0" applyNumberFormat="0" applyBorder="0" applyAlignment="0" applyProtection="0">
      <alignment vertical="center"/>
    </xf>
    <xf numFmtId="0" fontId="59" fillId="23" borderId="0" applyNumberFormat="0" applyBorder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60" fillId="25" borderId="0" applyNumberFormat="0" applyBorder="0" applyAlignment="0" applyProtection="0">
      <alignment vertical="center"/>
    </xf>
    <xf numFmtId="0" fontId="60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60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60" fillId="33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60" fillId="37" borderId="0" applyNumberFormat="0" applyBorder="0" applyAlignment="0" applyProtection="0">
      <alignment vertical="center"/>
    </xf>
    <xf numFmtId="0" fontId="60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60" fillId="41" borderId="0" applyNumberFormat="0" applyBorder="0" applyAlignment="0" applyProtection="0">
      <alignment vertical="center"/>
    </xf>
    <xf numFmtId="0" fontId="60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41" fillId="0" borderId="0"/>
    <xf numFmtId="0" fontId="0" fillId="0" borderId="0"/>
    <xf numFmtId="0" fontId="0" fillId="0" borderId="0" applyProtection="0"/>
    <xf numFmtId="0" fontId="61" fillId="0" borderId="0"/>
  </cellStyleXfs>
  <cellXfs count="242">
    <xf numFmtId="0" fontId="0" fillId="0" borderId="0" xfId="0"/>
    <xf numFmtId="0" fontId="1" fillId="0" borderId="0" xfId="50" applyFont="1"/>
    <xf numFmtId="0" fontId="2" fillId="0" borderId="0" xfId="50" applyFont="1"/>
    <xf numFmtId="0" fontId="3" fillId="0" borderId="0" xfId="50" applyFont="1"/>
    <xf numFmtId="0" fontId="4" fillId="0" borderId="0" xfId="50" applyFont="1"/>
    <xf numFmtId="0" fontId="3" fillId="0" borderId="0" xfId="0" applyFont="1"/>
    <xf numFmtId="0" fontId="5" fillId="0" borderId="0" xfId="50" applyFont="1"/>
    <xf numFmtId="180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80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8" fillId="3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left" vertical="center"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3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9" fontId="8" fillId="3" borderId="0" xfId="0" applyNumberFormat="1" applyFont="1" applyFill="1" applyBorder="1" applyAlignment="1">
      <alignment horizontal="center" vertical="top" wrapText="1"/>
    </xf>
    <xf numFmtId="0" fontId="0" fillId="0" borderId="13" xfId="0" applyBorder="1"/>
    <xf numFmtId="0" fontId="9" fillId="3" borderId="14" xfId="0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/>
    </xf>
    <xf numFmtId="0" fontId="9" fillId="5" borderId="16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7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8" fillId="3" borderId="15" xfId="0" applyFont="1" applyFill="1" applyBorder="1" applyAlignment="1">
      <alignment horizontal="left" vertical="top" wrapText="1"/>
    </xf>
    <xf numFmtId="0" fontId="9" fillId="5" borderId="18" xfId="0" applyFont="1" applyFill="1" applyBorder="1" applyAlignment="1">
      <alignment horizontal="center" vertical="center" wrapText="1"/>
    </xf>
    <xf numFmtId="9" fontId="9" fillId="5" borderId="19" xfId="0" applyNumberFormat="1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left" vertical="top" wrapText="1"/>
    </xf>
    <xf numFmtId="0" fontId="8" fillId="5" borderId="21" xfId="0" applyFont="1" applyFill="1" applyBorder="1" applyAlignment="1">
      <alignment horizontal="left" vertical="top" wrapText="1"/>
    </xf>
    <xf numFmtId="0" fontId="9" fillId="3" borderId="22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9" fontId="9" fillId="3" borderId="19" xfId="0" applyNumberFormat="1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left" vertical="top" wrapText="1"/>
    </xf>
    <xf numFmtId="0" fontId="8" fillId="3" borderId="24" xfId="0" applyFont="1" applyFill="1" applyBorder="1" applyAlignment="1">
      <alignment horizontal="left" vertical="top" wrapText="1"/>
    </xf>
    <xf numFmtId="0" fontId="10" fillId="2" borderId="25" xfId="0" applyFont="1" applyFill="1" applyBorder="1" applyAlignment="1">
      <alignment horizontal="center"/>
    </xf>
    <xf numFmtId="0" fontId="11" fillId="2" borderId="26" xfId="0" applyFont="1" applyFill="1" applyBorder="1"/>
    <xf numFmtId="0" fontId="10" fillId="2" borderId="27" xfId="0" applyFont="1" applyFill="1" applyBorder="1" applyAlignment="1">
      <alignment horizontal="center"/>
    </xf>
    <xf numFmtId="0" fontId="10" fillId="2" borderId="26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2" borderId="29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80" fontId="3" fillId="0" borderId="0" xfId="50" applyNumberFormat="1" applyFont="1"/>
    <xf numFmtId="180" fontId="3" fillId="0" borderId="30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11" fillId="2" borderId="31" xfId="0" applyFont="1" applyFill="1" applyBorder="1" applyAlignment="1">
      <alignment horizontal="center" wrapText="1"/>
    </xf>
    <xf numFmtId="0" fontId="11" fillId="2" borderId="32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10" fillId="2" borderId="33" xfId="0" applyFont="1" applyFill="1" applyBorder="1" applyAlignment="1">
      <alignment horizontal="center"/>
    </xf>
    <xf numFmtId="0" fontId="10" fillId="2" borderId="34" xfId="0" applyFont="1" applyFill="1" applyBorder="1" applyAlignment="1">
      <alignment horizontal="center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51" applyFont="1" applyFill="1"/>
    <xf numFmtId="0" fontId="14" fillId="6" borderId="0" xfId="0" applyFont="1" applyFill="1" applyAlignment="1">
      <alignment horizontal="center" wrapText="1"/>
    </xf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14" fillId="6" borderId="35" xfId="0" applyFont="1" applyFill="1" applyBorder="1" applyAlignment="1">
      <alignment horizontal="center" wrapText="1"/>
    </xf>
    <xf numFmtId="0" fontId="2" fillId="6" borderId="36" xfId="51" applyFont="1" applyFill="1" applyBorder="1" applyAlignment="1">
      <alignment horizontal="left" wrapText="1"/>
    </xf>
    <xf numFmtId="0" fontId="3" fillId="6" borderId="37" xfId="51" applyFont="1" applyFill="1" applyBorder="1" applyAlignment="1">
      <alignment horizontal="left" wrapText="1"/>
    </xf>
    <xf numFmtId="0" fontId="3" fillId="6" borderId="38" xfId="51" applyFont="1" applyFill="1" applyBorder="1" applyAlignment="1">
      <alignment horizontal="left" wrapText="1"/>
    </xf>
    <xf numFmtId="0" fontId="3" fillId="6" borderId="0" xfId="51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9" xfId="51" applyFont="1" applyFill="1" applyBorder="1" applyAlignment="1">
      <alignment horizontal="left" vertical="center" wrapText="1"/>
    </xf>
    <xf numFmtId="0" fontId="3" fillId="6" borderId="40" xfId="51" applyFont="1" applyFill="1" applyBorder="1" applyAlignment="1">
      <alignment horizontal="left" vertical="top" wrapText="1"/>
    </xf>
    <xf numFmtId="0" fontId="3" fillId="6" borderId="41" xfId="51" applyFont="1" applyFill="1" applyBorder="1" applyAlignment="1">
      <alignment horizontal="left" vertical="top" wrapText="1"/>
    </xf>
    <xf numFmtId="0" fontId="3" fillId="6" borderId="42" xfId="51" applyFont="1" applyFill="1" applyBorder="1" applyAlignment="1">
      <alignment horizontal="left" vertical="top" wrapText="1"/>
    </xf>
    <xf numFmtId="0" fontId="3" fillId="6" borderId="40" xfId="51" applyFont="1" applyFill="1" applyBorder="1" applyAlignment="1">
      <alignment horizontal="left" vertical="center" wrapText="1"/>
    </xf>
    <xf numFmtId="0" fontId="3" fillId="6" borderId="41" xfId="51" applyFont="1" applyFill="1" applyBorder="1" applyAlignment="1">
      <alignment horizontal="left" vertical="center" wrapText="1"/>
    </xf>
    <xf numFmtId="0" fontId="3" fillId="6" borderId="42" xfId="51" applyFont="1" applyFill="1" applyBorder="1" applyAlignment="1">
      <alignment horizontal="left" vertical="center" wrapText="1"/>
    </xf>
    <xf numFmtId="0" fontId="3" fillId="6" borderId="0" xfId="51" applyFont="1" applyFill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vertical="center" wrapText="1"/>
    </xf>
    <xf numFmtId="0" fontId="13" fillId="6" borderId="39" xfId="0" applyFont="1" applyFill="1" applyBorder="1" applyAlignment="1">
      <alignment horizontal="right"/>
    </xf>
    <xf numFmtId="0" fontId="13" fillId="6" borderId="43" xfId="0" applyFont="1" applyFill="1" applyBorder="1" applyAlignment="1">
      <alignment wrapText="1"/>
    </xf>
    <xf numFmtId="0" fontId="13" fillId="6" borderId="43" xfId="0" applyFont="1" applyFill="1" applyBorder="1" applyAlignment="1">
      <alignment horizontal="center" wrapText="1"/>
    </xf>
    <xf numFmtId="0" fontId="13" fillId="6" borderId="44" xfId="0" applyFont="1" applyFill="1" applyBorder="1" applyAlignment="1">
      <alignment horizontal="center" wrapText="1"/>
    </xf>
    <xf numFmtId="0" fontId="13" fillId="6" borderId="45" xfId="0" applyFont="1" applyFill="1" applyBorder="1" applyAlignment="1">
      <alignment horizontal="right"/>
    </xf>
    <xf numFmtId="0" fontId="13" fillId="6" borderId="46" xfId="0" applyFont="1" applyFill="1" applyBorder="1" applyAlignment="1">
      <alignment wrapText="1"/>
    </xf>
    <xf numFmtId="0" fontId="13" fillId="0" borderId="46" xfId="0" applyFont="1" applyBorder="1" applyAlignment="1">
      <alignment horizontal="center"/>
    </xf>
    <xf numFmtId="1" fontId="13" fillId="6" borderId="47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8" xfId="0" applyFont="1" applyFill="1" applyBorder="1" applyAlignment="1">
      <alignment horizontal="center"/>
    </xf>
    <xf numFmtId="0" fontId="13" fillId="6" borderId="49" xfId="0" applyFont="1" applyFill="1" applyBorder="1" applyAlignment="1">
      <alignment horizontal="center" wrapText="1"/>
    </xf>
    <xf numFmtId="0" fontId="11" fillId="7" borderId="50" xfId="51" applyFont="1" applyFill="1" applyBorder="1" applyAlignment="1">
      <alignment horizontal="center" vertical="center" wrapText="1"/>
    </xf>
    <xf numFmtId="0" fontId="11" fillId="7" borderId="50" xfId="51" applyFont="1" applyFill="1" applyBorder="1" applyAlignment="1">
      <alignment vertical="center" wrapText="1"/>
    </xf>
    <xf numFmtId="0" fontId="11" fillId="7" borderId="51" xfId="51" applyFont="1" applyFill="1" applyBorder="1" applyAlignment="1">
      <alignment horizontal="center" vertical="center" wrapText="1"/>
    </xf>
    <xf numFmtId="0" fontId="11" fillId="7" borderId="0" xfId="51" applyFont="1" applyFill="1" applyAlignment="1">
      <alignment horizontal="center" vertical="center" wrapText="1"/>
    </xf>
    <xf numFmtId="0" fontId="11" fillId="7" borderId="52" xfId="51" applyFont="1" applyFill="1" applyBorder="1" applyAlignment="1">
      <alignment horizontal="center" vertical="center" wrapText="1"/>
    </xf>
    <xf numFmtId="0" fontId="11" fillId="7" borderId="53" xfId="51" applyFont="1" applyFill="1" applyBorder="1" applyAlignment="1">
      <alignment horizontal="center" vertical="center" wrapText="1"/>
    </xf>
    <xf numFmtId="0" fontId="11" fillId="7" borderId="54" xfId="51" applyFont="1" applyFill="1" applyBorder="1" applyAlignment="1">
      <alignment horizontal="center" vertical="center" wrapText="1"/>
    </xf>
    <xf numFmtId="0" fontId="15" fillId="6" borderId="0" xfId="0" applyFont="1" applyFill="1"/>
    <xf numFmtId="0" fontId="11" fillId="7" borderId="43" xfId="51" applyFont="1" applyFill="1" applyBorder="1" applyAlignment="1">
      <alignment horizontal="center" vertical="center" wrapText="1"/>
    </xf>
    <xf numFmtId="0" fontId="11" fillId="7" borderId="43" xfId="51" applyFont="1" applyFill="1" applyBorder="1" applyAlignment="1">
      <alignment vertical="center" wrapText="1"/>
    </xf>
    <xf numFmtId="0" fontId="11" fillId="7" borderId="55" xfId="51" applyFont="1" applyFill="1" applyBorder="1" applyAlignment="1">
      <alignment horizontal="center" vertical="center" wrapText="1"/>
    </xf>
    <xf numFmtId="0" fontId="11" fillId="7" borderId="49" xfId="51" applyFont="1" applyFill="1" applyBorder="1" applyAlignment="1">
      <alignment horizontal="center" vertical="center" wrapText="1"/>
    </xf>
    <xf numFmtId="0" fontId="11" fillId="7" borderId="56" xfId="51" applyFont="1" applyFill="1" applyBorder="1" applyAlignment="1">
      <alignment horizontal="center" vertical="center" wrapText="1"/>
    </xf>
    <xf numFmtId="0" fontId="17" fillId="8" borderId="41" xfId="0" applyFont="1" applyFill="1" applyBorder="1" applyAlignment="1">
      <alignment horizontal="left" vertical="center"/>
    </xf>
    <xf numFmtId="0" fontId="17" fillId="8" borderId="57" xfId="0" applyFont="1" applyFill="1" applyBorder="1" applyAlignment="1">
      <alignment horizontal="left" vertical="center"/>
    </xf>
    <xf numFmtId="0" fontId="18" fillId="9" borderId="40" xfId="51" applyFont="1" applyFill="1" applyBorder="1" applyAlignment="1">
      <alignment horizontal="left" vertical="center" wrapText="1"/>
    </xf>
    <xf numFmtId="0" fontId="18" fillId="9" borderId="41" xfId="51" applyFont="1" applyFill="1" applyBorder="1" applyAlignment="1">
      <alignment horizontal="left" vertical="center" wrapText="1"/>
    </xf>
    <xf numFmtId="0" fontId="18" fillId="9" borderId="57" xfId="51" applyFont="1" applyFill="1" applyBorder="1" applyAlignment="1">
      <alignment horizontal="left" vertical="center" wrapText="1"/>
    </xf>
    <xf numFmtId="181" fontId="13" fillId="0" borderId="43" xfId="0" applyNumberFormat="1" applyFont="1" applyBorder="1" applyAlignment="1">
      <alignment horizontal="left" vertical="top" wrapText="1"/>
    </xf>
    <xf numFmtId="0" fontId="13" fillId="0" borderId="43" xfId="0" applyFont="1" applyBorder="1" applyAlignment="1">
      <alignment vertical="top" wrapText="1"/>
    </xf>
    <xf numFmtId="0" fontId="13" fillId="0" borderId="43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41" xfId="0" applyFont="1" applyBorder="1" applyAlignment="1">
      <alignment horizontal="left" vertical="top" wrapText="1"/>
    </xf>
    <xf numFmtId="0" fontId="13" fillId="0" borderId="57" xfId="0" applyFont="1" applyBorder="1" applyAlignment="1">
      <alignment horizontal="left" vertical="top" wrapText="1"/>
    </xf>
    <xf numFmtId="0" fontId="19" fillId="0" borderId="40" xfId="0" applyFont="1" applyBorder="1" applyAlignment="1">
      <alignment horizontal="left" vertical="top" wrapText="1"/>
    </xf>
    <xf numFmtId="0" fontId="18" fillId="9" borderId="40" xfId="51" applyFont="1" applyFill="1" applyBorder="1" applyAlignment="1">
      <alignment horizontal="center" vertical="center" wrapText="1"/>
    </xf>
    <xf numFmtId="0" fontId="18" fillId="9" borderId="41" xfId="51" applyFont="1" applyFill="1" applyBorder="1" applyAlignment="1">
      <alignment horizontal="center" vertical="center" wrapText="1"/>
    </xf>
    <xf numFmtId="0" fontId="13" fillId="0" borderId="54" xfId="0" applyFont="1" applyBorder="1" applyAlignment="1">
      <alignment horizontal="center" vertical="top" wrapText="1"/>
    </xf>
    <xf numFmtId="0" fontId="13" fillId="0" borderId="54" xfId="0" applyFont="1" applyBorder="1" applyAlignment="1">
      <alignment horizontal="left" vertical="top" wrapText="1"/>
    </xf>
    <xf numFmtId="0" fontId="18" fillId="0" borderId="40" xfId="0" applyFont="1" applyBorder="1" applyAlignment="1">
      <alignment horizontal="left" vertical="top" wrapText="1"/>
    </xf>
    <xf numFmtId="0" fontId="13" fillId="0" borderId="43" xfId="0" applyFont="1" applyBorder="1" applyAlignment="1">
      <alignment horizontal="center" vertical="top" wrapText="1"/>
    </xf>
    <xf numFmtId="0" fontId="18" fillId="0" borderId="41" xfId="0" applyFont="1" applyBorder="1" applyAlignment="1">
      <alignment horizontal="left" vertical="top" wrapText="1"/>
    </xf>
    <xf numFmtId="0" fontId="20" fillId="6" borderId="0" xfId="0" applyFont="1" applyFill="1" applyAlignment="1">
      <alignment wrapText="1"/>
    </xf>
    <xf numFmtId="0" fontId="20" fillId="6" borderId="35" xfId="0" applyFont="1" applyFill="1" applyBorder="1" applyAlignment="1">
      <alignment wrapText="1"/>
    </xf>
    <xf numFmtId="0" fontId="13" fillId="6" borderId="58" xfId="0" applyFont="1" applyFill="1" applyBorder="1" applyAlignment="1">
      <alignment horizontal="center"/>
    </xf>
    <xf numFmtId="0" fontId="20" fillId="0" borderId="40" xfId="0" applyFont="1" applyBorder="1" applyAlignment="1">
      <alignment horizontal="left" vertical="top" wrapText="1"/>
    </xf>
    <xf numFmtId="0" fontId="20" fillId="0" borderId="43" xfId="51" applyFont="1" applyBorder="1" applyAlignment="1">
      <alignment horizontal="left" vertical="top" wrapText="1"/>
    </xf>
    <xf numFmtId="0" fontId="20" fillId="0" borderId="40" xfId="51" applyFont="1" applyBorder="1" applyAlignment="1">
      <alignment horizontal="left" vertical="top" wrapText="1"/>
    </xf>
    <xf numFmtId="0" fontId="18" fillId="0" borderId="41" xfId="51" applyFont="1" applyBorder="1" applyAlignment="1">
      <alignment horizontal="left" vertical="top" wrapText="1"/>
    </xf>
    <xf numFmtId="0" fontId="18" fillId="0" borderId="57" xfId="51" applyFont="1" applyBorder="1" applyAlignment="1">
      <alignment horizontal="left" vertical="top" wrapText="1"/>
    </xf>
    <xf numFmtId="0" fontId="18" fillId="0" borderId="43" xfId="51" applyFont="1" applyBorder="1" applyAlignment="1">
      <alignment horizontal="left" vertical="center" wrapText="1"/>
    </xf>
    <xf numFmtId="0" fontId="13" fillId="0" borderId="43" xfId="51" applyFont="1" applyBorder="1" applyAlignment="1">
      <alignment horizontal="left" vertical="center" wrapText="1"/>
    </xf>
    <xf numFmtId="0" fontId="14" fillId="6" borderId="35" xfId="0" applyFont="1" applyFill="1" applyBorder="1" applyAlignment="1">
      <alignment wrapText="1"/>
    </xf>
    <xf numFmtId="0" fontId="2" fillId="6" borderId="36" xfId="51" applyFont="1" applyFill="1" applyBorder="1" applyAlignment="1">
      <alignment horizontal="left" vertical="top" wrapText="1"/>
    </xf>
    <xf numFmtId="0" fontId="2" fillId="6" borderId="39" xfId="51" applyFont="1" applyFill="1" applyBorder="1" applyAlignment="1">
      <alignment horizontal="left" vertical="top" wrapText="1"/>
    </xf>
    <xf numFmtId="0" fontId="21" fillId="9" borderId="40" xfId="51" applyFont="1" applyFill="1" applyBorder="1" applyAlignment="1">
      <alignment horizontal="left" vertical="center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81" fontId="13" fillId="0" borderId="43" xfId="0" applyNumberFormat="1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41" xfId="0" applyFont="1" applyBorder="1" applyAlignment="1">
      <alignment vertical="top" wrapText="1"/>
    </xf>
    <xf numFmtId="0" fontId="13" fillId="0" borderId="57" xfId="0" applyFont="1" applyBorder="1" applyAlignment="1">
      <alignment vertical="top" wrapText="1"/>
    </xf>
    <xf numFmtId="0" fontId="19" fillId="0" borderId="40" xfId="0" applyFont="1" applyBorder="1" applyAlignment="1">
      <alignment vertical="top" wrapText="1"/>
    </xf>
    <xf numFmtId="0" fontId="18" fillId="9" borderId="40" xfId="51" applyFont="1" applyFill="1" applyBorder="1" applyAlignment="1">
      <alignment vertical="center" wrapText="1"/>
    </xf>
    <xf numFmtId="0" fontId="18" fillId="9" borderId="41" xfId="51" applyFont="1" applyFill="1" applyBorder="1" applyAlignment="1">
      <alignment vertical="center" wrapText="1"/>
    </xf>
    <xf numFmtId="0" fontId="18" fillId="9" borderId="57" xfId="51" applyFont="1" applyFill="1" applyBorder="1" applyAlignment="1">
      <alignment vertical="center" wrapText="1"/>
    </xf>
    <xf numFmtId="0" fontId="13" fillId="0" borderId="54" xfId="0" applyFont="1" applyBorder="1" applyAlignment="1">
      <alignment vertical="top" wrapText="1"/>
    </xf>
    <xf numFmtId="0" fontId="18" fillId="0" borderId="41" xfId="0" applyFont="1" applyBorder="1" applyAlignment="1">
      <alignment vertical="top" wrapText="1"/>
    </xf>
    <xf numFmtId="0" fontId="23" fillId="9" borderId="40" xfId="51" applyFont="1" applyFill="1" applyBorder="1" applyAlignment="1">
      <alignment horizontal="left" vertical="center" wrapText="1"/>
    </xf>
    <xf numFmtId="0" fontId="24" fillId="9" borderId="41" xfId="51" applyFont="1" applyFill="1" applyBorder="1" applyAlignment="1">
      <alignment horizontal="left" vertical="center" wrapText="1"/>
    </xf>
    <xf numFmtId="0" fontId="24" fillId="9" borderId="57" xfId="51" applyFont="1" applyFill="1" applyBorder="1" applyAlignment="1">
      <alignment horizontal="left" vertical="center" wrapText="1"/>
    </xf>
    <xf numFmtId="0" fontId="25" fillId="9" borderId="40" xfId="51" applyFont="1" applyFill="1" applyBorder="1" applyAlignment="1">
      <alignment horizontal="left" vertical="center" wrapText="1"/>
    </xf>
    <xf numFmtId="0" fontId="25" fillId="9" borderId="41" xfId="51" applyFont="1" applyFill="1" applyBorder="1" applyAlignment="1">
      <alignment horizontal="left" vertical="center" wrapText="1"/>
    </xf>
    <xf numFmtId="0" fontId="25" fillId="9" borderId="57" xfId="51" applyFont="1" applyFill="1" applyBorder="1" applyAlignment="1">
      <alignment horizontal="left" vertical="center" wrapText="1"/>
    </xf>
    <xf numFmtId="0" fontId="26" fillId="11" borderId="10" xfId="0" applyFont="1" applyFill="1" applyBorder="1" applyAlignment="1">
      <alignment horizontal="left" vertical="center" wrapText="1"/>
    </xf>
    <xf numFmtId="181" fontId="13" fillId="12" borderId="43" xfId="0" applyNumberFormat="1" applyFont="1" applyFill="1" applyBorder="1" applyAlignment="1">
      <alignment horizontal="left" vertical="top" wrapText="1"/>
    </xf>
    <xf numFmtId="0" fontId="13" fillId="12" borderId="43" xfId="0" applyFont="1" applyFill="1" applyBorder="1" applyAlignment="1">
      <alignment horizontal="center" vertical="top" wrapText="1"/>
    </xf>
    <xf numFmtId="0" fontId="13" fillId="12" borderId="43" xfId="0" applyFont="1" applyFill="1" applyBorder="1" applyAlignment="1">
      <alignment horizontal="left" vertical="top" wrapText="1"/>
    </xf>
    <xf numFmtId="0" fontId="13" fillId="0" borderId="59" xfId="0" applyFont="1" applyBorder="1" applyAlignment="1">
      <alignment horizontal="left" vertical="top" wrapText="1"/>
    </xf>
    <xf numFmtId="0" fontId="13" fillId="0" borderId="60" xfId="0" applyFont="1" applyBorder="1" applyAlignment="1">
      <alignment horizontal="left" vertical="top" wrapText="1"/>
    </xf>
    <xf numFmtId="0" fontId="13" fillId="0" borderId="61" xfId="0" applyFont="1" applyBorder="1" applyAlignment="1">
      <alignment horizontal="left" vertical="top" wrapText="1"/>
    </xf>
    <xf numFmtId="0" fontId="19" fillId="0" borderId="43" xfId="0" applyFont="1" applyBorder="1" applyAlignment="1">
      <alignment horizontal="left" vertical="top" wrapText="1"/>
    </xf>
    <xf numFmtId="0" fontId="18" fillId="9" borderId="49" xfId="51" applyFont="1" applyFill="1" applyBorder="1" applyAlignment="1">
      <alignment horizontal="left" vertical="center" wrapText="1"/>
    </xf>
    <xf numFmtId="0" fontId="13" fillId="12" borderId="54" xfId="0" applyFont="1" applyFill="1" applyBorder="1" applyAlignment="1">
      <alignment horizontal="left" vertical="top" wrapText="1"/>
    </xf>
    <xf numFmtId="181" fontId="13" fillId="0" borderId="40" xfId="0" applyNumberFormat="1" applyFont="1" applyBorder="1" applyAlignment="1">
      <alignment horizontal="left" vertical="top" wrapText="1"/>
    </xf>
    <xf numFmtId="181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43" xfId="0" applyFont="1" applyFill="1" applyBorder="1" applyAlignment="1">
      <alignment horizontal="left" vertical="top" wrapText="1"/>
    </xf>
    <xf numFmtId="0" fontId="18" fillId="0" borderId="0" xfId="51" applyFont="1" applyFill="1" applyBorder="1" applyAlignment="1">
      <alignment horizontal="left" vertical="center" wrapText="1"/>
    </xf>
    <xf numFmtId="181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20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0" fontId="20" fillId="0" borderId="41" xfId="0" applyFont="1" applyBorder="1" applyAlignment="1">
      <alignment horizontal="left" vertical="top" wrapText="1"/>
    </xf>
    <xf numFmtId="0" fontId="20" fillId="0" borderId="57" xfId="0" applyFont="1" applyBorder="1" applyAlignment="1">
      <alignment horizontal="left" vertical="top" wrapText="1"/>
    </xf>
    <xf numFmtId="181" fontId="13" fillId="0" borderId="54" xfId="0" applyNumberFormat="1" applyFont="1" applyBorder="1" applyAlignment="1">
      <alignment horizontal="left" vertical="top" wrapText="1"/>
    </xf>
    <xf numFmtId="0" fontId="29" fillId="0" borderId="43" xfId="0" applyFont="1" applyBorder="1"/>
    <xf numFmtId="0" fontId="30" fillId="9" borderId="59" xfId="51" applyFont="1" applyFill="1" applyBorder="1" applyAlignment="1">
      <alignment horizontal="left" vertical="center" wrapText="1"/>
    </xf>
    <xf numFmtId="0" fontId="13" fillId="9" borderId="60" xfId="51" applyFont="1" applyFill="1" applyBorder="1" applyAlignment="1">
      <alignment horizontal="left" vertical="center" wrapText="1"/>
    </xf>
    <xf numFmtId="0" fontId="13" fillId="9" borderId="61" xfId="51" applyFont="1" applyFill="1" applyBorder="1" applyAlignment="1">
      <alignment horizontal="left" vertical="center" wrapText="1"/>
    </xf>
    <xf numFmtId="0" fontId="20" fillId="0" borderId="43" xfId="0" applyFont="1" applyBorder="1" applyAlignment="1">
      <alignment horizontal="left" vertical="top" wrapText="1"/>
    </xf>
    <xf numFmtId="0" fontId="13" fillId="0" borderId="43" xfId="51" applyFont="1" applyFill="1" applyBorder="1" applyAlignment="1">
      <alignment horizontal="left" vertical="top" wrapText="1"/>
    </xf>
    <xf numFmtId="0" fontId="13" fillId="0" borderId="43" xfId="51" applyFont="1" applyFill="1" applyBorder="1" applyAlignment="1">
      <alignment horizontal="left" vertical="center" wrapText="1"/>
    </xf>
    <xf numFmtId="0" fontId="13" fillId="0" borderId="40" xfId="51" applyFont="1" applyFill="1" applyBorder="1" applyAlignment="1">
      <alignment horizontal="left" vertical="top" wrapText="1"/>
    </xf>
    <xf numFmtId="0" fontId="13" fillId="0" borderId="41" xfId="51" applyFont="1" applyFill="1" applyBorder="1" applyAlignment="1">
      <alignment horizontal="left" vertical="top" wrapText="1"/>
    </xf>
    <xf numFmtId="0" fontId="13" fillId="0" borderId="57" xfId="51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 wrapText="1"/>
    </xf>
    <xf numFmtId="0" fontId="19" fillId="0" borderId="54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82" fontId="32" fillId="0" borderId="0" xfId="0" applyNumberFormat="1" applyFont="1"/>
    <xf numFmtId="182" fontId="31" fillId="0" borderId="0" xfId="0" applyNumberFormat="1" applyFont="1"/>
    <xf numFmtId="0" fontId="31" fillId="6" borderId="0" xfId="0" applyFont="1" applyFill="1"/>
    <xf numFmtId="182" fontId="33" fillId="6" borderId="0" xfId="0" applyNumberFormat="1" applyFont="1" applyFill="1"/>
    <xf numFmtId="182" fontId="34" fillId="6" borderId="0" xfId="0" applyNumberFormat="1" applyFont="1" applyFill="1"/>
    <xf numFmtId="0" fontId="35" fillId="0" borderId="0" xfId="49" applyFont="1"/>
    <xf numFmtId="0" fontId="36" fillId="0" borderId="0" xfId="49" applyFont="1"/>
    <xf numFmtId="0" fontId="35" fillId="0" borderId="62" xfId="49" applyFont="1" applyBorder="1"/>
    <xf numFmtId="182" fontId="37" fillId="0" borderId="0" xfId="0" applyNumberFormat="1" applyFont="1"/>
    <xf numFmtId="0" fontId="38" fillId="0" borderId="0" xfId="0" applyFont="1"/>
    <xf numFmtId="182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63" xfId="0" applyFont="1" applyFill="1" applyBorder="1" applyAlignment="1">
      <alignment horizontal="center" vertical="center"/>
    </xf>
    <xf numFmtId="182" fontId="40" fillId="12" borderId="62" xfId="49" applyNumberFormat="1" applyFont="1" applyFill="1" applyBorder="1" applyAlignment="1">
      <alignment horizontal="center" vertical="center" wrapText="1"/>
    </xf>
    <xf numFmtId="0" fontId="40" fillId="12" borderId="62" xfId="49" applyFont="1" applyFill="1" applyBorder="1" applyAlignment="1">
      <alignment horizontal="center" vertical="center" wrapText="1"/>
    </xf>
    <xf numFmtId="0" fontId="40" fillId="12" borderId="62" xfId="0" applyFont="1" applyFill="1" applyBorder="1" applyAlignment="1">
      <alignment horizontal="center" vertical="center" wrapText="1"/>
    </xf>
    <xf numFmtId="182" fontId="40" fillId="12" borderId="64" xfId="49" applyNumberFormat="1" applyFont="1" applyFill="1" applyBorder="1" applyAlignment="1">
      <alignment horizontal="center" vertical="center" wrapText="1"/>
    </xf>
    <xf numFmtId="0" fontId="40" fillId="12" borderId="64" xfId="49" applyFont="1" applyFill="1" applyBorder="1" applyAlignment="1">
      <alignment horizontal="center" vertical="center" wrapText="1"/>
    </xf>
    <xf numFmtId="0" fontId="40" fillId="12" borderId="64" xfId="0" applyFont="1" applyFill="1" applyBorder="1" applyAlignment="1">
      <alignment horizontal="center" vertical="center" wrapText="1"/>
    </xf>
    <xf numFmtId="182" fontId="40" fillId="0" borderId="43" xfId="0" applyNumberFormat="1" applyFont="1" applyBorder="1" applyAlignment="1">
      <alignment horizontal="center" vertical="center" wrapText="1"/>
    </xf>
    <xf numFmtId="0" fontId="40" fillId="0" borderId="43" xfId="0" applyFont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_Functional Test Case v1.0" xfId="50"/>
    <cellStyle name="Normal_Sheet1_Vanco_CR022a1_TestCase_v0.1" xfId="51"/>
    <cellStyle name="標準_結合試験(AllOvertheWorld)" xfId="52"/>
  </cellStyles>
  <tableStyles count="1" defaultTableStyle="TableStyleMedium9" defaultPivotStyle="PivotStyleLight16">
    <tableStyle name="Table Style 1" pivot="0" count="0" xr9:uid="{15C1D242-7268-4AFB-AEC9-114E9C3C10BB}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87922</xdr:colOff>
      <xdr:row>8</xdr:row>
      <xdr:rowOff>43961</xdr:rowOff>
    </xdr:from>
    <xdr:to>
      <xdr:col>9</xdr:col>
      <xdr:colOff>0</xdr:colOff>
      <xdr:row>12</xdr:row>
      <xdr:rowOff>131885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513060" y="1710690"/>
          <a:ext cx="3058795" cy="90678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showGridLines="0" zoomScale="55" zoomScaleNormal="55" topLeftCell="A20" workbookViewId="0">
      <selection activeCell="F29" sqref="F29"/>
    </sheetView>
  </sheetViews>
  <sheetFormatPr defaultColWidth="9" defaultRowHeight="13.8"/>
  <cols>
    <col min="1" max="1" width="9" style="219"/>
    <col min="2" max="2" width="29.75" style="220" customWidth="1"/>
    <col min="3" max="3" width="23.1296296296296" style="219" customWidth="1"/>
    <col min="4" max="4" width="66.75" style="219" customWidth="1"/>
    <col min="5" max="5" width="141.37962962963" style="219" customWidth="1"/>
    <col min="6" max="7" width="31.1296296296296" style="219" customWidth="1"/>
    <col min="8" max="8" width="174.5" style="219" customWidth="1"/>
    <col min="9" max="16384" width="9" style="219"/>
  </cols>
  <sheetData>
    <row r="1" s="215" customFormat="1" ht="24" spans="1:9">
      <c r="B1" s="221"/>
    </row>
    <row r="2" s="215" customFormat="1" ht="24" spans="1:9">
      <c r="A2" s="222"/>
      <c r="B2" s="223" t="s">
        <v>0</v>
      </c>
      <c r="C2" s="222"/>
      <c r="D2" s="222"/>
      <c r="E2" s="222"/>
      <c r="F2" s="222"/>
      <c r="G2" s="222"/>
    </row>
    <row r="3" s="215" customFormat="1" ht="25.2" spans="1:9">
      <c r="A3" s="222"/>
      <c r="B3" s="224" t="s">
        <v>1</v>
      </c>
      <c r="C3" s="225">
        <v>1.2</v>
      </c>
      <c r="D3" s="226"/>
      <c r="E3" s="226"/>
      <c r="F3" s="226"/>
      <c r="G3" s="226"/>
      <c r="H3" s="226"/>
      <c r="I3" s="226"/>
    </row>
    <row r="4" s="215" customFormat="1" ht="25.2" spans="1:9">
      <c r="A4" s="222"/>
      <c r="B4" s="224" t="s">
        <v>2</v>
      </c>
      <c r="C4" s="225" t="s">
        <v>3</v>
      </c>
      <c r="D4" s="226"/>
      <c r="E4" s="226"/>
      <c r="F4" s="226"/>
      <c r="G4" s="226"/>
      <c r="H4" s="226"/>
      <c r="I4" s="226"/>
    </row>
    <row r="5" s="215" customFormat="1" ht="25.2" spans="1:9">
      <c r="A5" s="222"/>
      <c r="B5" s="224"/>
      <c r="C5" s="226"/>
      <c r="D5" s="226"/>
      <c r="E5" s="226"/>
      <c r="F5" s="226"/>
      <c r="G5" s="226"/>
      <c r="H5" s="226"/>
      <c r="I5" s="226"/>
    </row>
    <row r="6" s="215" customFormat="1" ht="47.45" customHeight="1" spans="1:9">
      <c r="A6" s="222"/>
      <c r="B6" s="224" t="s">
        <v>4</v>
      </c>
      <c r="C6" s="227" t="s">
        <v>5</v>
      </c>
      <c r="D6" s="226"/>
      <c r="E6" s="226"/>
      <c r="F6" s="226"/>
      <c r="G6" s="226"/>
      <c r="H6" s="226"/>
      <c r="I6" s="226"/>
    </row>
    <row r="7" s="215" customFormat="1" ht="27" customHeight="1" spans="1:9">
      <c r="A7" s="222"/>
      <c r="B7" s="224" t="s">
        <v>6</v>
      </c>
      <c r="C7" s="227" t="s">
        <v>7</v>
      </c>
      <c r="D7" s="226"/>
      <c r="E7" s="226"/>
      <c r="F7" s="226"/>
      <c r="G7" s="226"/>
      <c r="H7" s="226"/>
      <c r="I7" s="226"/>
    </row>
    <row r="8" s="215" customFormat="1" ht="24" spans="1:9">
      <c r="A8" s="222"/>
      <c r="B8" s="224"/>
      <c r="C8" s="222"/>
      <c r="D8" s="222"/>
      <c r="E8" s="222"/>
      <c r="F8" s="222"/>
      <c r="G8" s="222"/>
    </row>
    <row r="9" s="215" customFormat="1" ht="24" spans="1:9">
      <c r="A9" s="222"/>
      <c r="B9" s="221"/>
      <c r="F9" s="222"/>
      <c r="G9" s="222"/>
    </row>
    <row r="10" s="215" customFormat="1" ht="24.6" spans="1:9">
      <c r="B10" s="228" t="s">
        <v>8</v>
      </c>
      <c r="C10" s="229"/>
      <c r="D10" s="229"/>
      <c r="E10" s="229"/>
      <c r="F10" s="229"/>
      <c r="G10" s="229"/>
      <c r="H10" s="229"/>
    </row>
    <row r="11" s="216" customFormat="1" ht="63.6" customHeight="1" spans="1:9">
      <c r="B11" s="230"/>
      <c r="C11" s="231" t="s">
        <v>9</v>
      </c>
      <c r="D11" s="231" t="s">
        <v>10</v>
      </c>
      <c r="E11" s="231" t="s">
        <v>11</v>
      </c>
      <c r="F11" s="231" t="s">
        <v>12</v>
      </c>
      <c r="G11" s="232" t="s">
        <v>13</v>
      </c>
      <c r="H11" s="233" t="s">
        <v>14</v>
      </c>
    </row>
    <row r="12" s="217" customFormat="1" ht="49.9" customHeight="1" spans="1:9">
      <c r="B12" s="234">
        <v>46268</v>
      </c>
      <c r="C12" s="235" t="s">
        <v>15</v>
      </c>
      <c r="D12" s="235" t="s">
        <v>16</v>
      </c>
      <c r="E12" s="235" t="s">
        <v>17</v>
      </c>
      <c r="F12" s="235" t="s">
        <v>18</v>
      </c>
      <c r="G12" s="235" t="s">
        <v>18</v>
      </c>
      <c r="H12" s="236" t="s">
        <v>19</v>
      </c>
    </row>
    <row r="13" s="217" customFormat="1" ht="49.9" customHeight="1" spans="1:9">
      <c r="B13" s="234">
        <v>46116</v>
      </c>
      <c r="C13" s="235">
        <v>1.1</v>
      </c>
      <c r="D13" s="235" t="s">
        <v>20</v>
      </c>
      <c r="E13" s="235" t="s">
        <v>21</v>
      </c>
      <c r="F13" s="235" t="s">
        <v>22</v>
      </c>
      <c r="G13" s="235" t="s">
        <v>18</v>
      </c>
      <c r="H13" s="236" t="s">
        <v>23</v>
      </c>
    </row>
    <row r="14" s="217" customFormat="1" ht="49.9" customHeight="1" spans="1:9">
      <c r="B14" s="234">
        <v>46116</v>
      </c>
      <c r="C14" s="235">
        <v>1.1</v>
      </c>
      <c r="D14" s="235" t="s">
        <v>24</v>
      </c>
      <c r="E14" s="235" t="s">
        <v>25</v>
      </c>
      <c r="F14" s="235" t="s">
        <v>26</v>
      </c>
      <c r="G14" s="235" t="s">
        <v>18</v>
      </c>
      <c r="H14" s="236" t="s">
        <v>27</v>
      </c>
    </row>
    <row r="15" s="217" customFormat="1" ht="49.9" customHeight="1" spans="1:9">
      <c r="B15" s="234">
        <v>46116</v>
      </c>
      <c r="C15" s="235">
        <v>1.1</v>
      </c>
      <c r="D15" s="235" t="s">
        <v>28</v>
      </c>
      <c r="E15" s="235" t="s">
        <v>29</v>
      </c>
      <c r="F15" s="235" t="s">
        <v>18</v>
      </c>
      <c r="G15" s="235" t="s">
        <v>18</v>
      </c>
      <c r="H15" s="236" t="s">
        <v>30</v>
      </c>
    </row>
    <row r="16" s="217" customFormat="1" ht="49.9" customHeight="1" spans="1:9">
      <c r="B16" s="234">
        <v>46116</v>
      </c>
      <c r="C16" s="235">
        <v>1.1</v>
      </c>
      <c r="D16" s="235" t="s">
        <v>31</v>
      </c>
      <c r="E16" s="235" t="s">
        <v>32</v>
      </c>
      <c r="F16" s="235" t="s">
        <v>18</v>
      </c>
      <c r="G16" s="235" t="s">
        <v>18</v>
      </c>
      <c r="H16" s="236" t="s">
        <v>33</v>
      </c>
    </row>
    <row r="17" s="218" customFormat="1" ht="49.9" customHeight="1" spans="2:8">
      <c r="B17" s="234">
        <v>46330</v>
      </c>
      <c r="C17" s="235">
        <v>1.2</v>
      </c>
      <c r="D17" s="235" t="s">
        <v>20</v>
      </c>
      <c r="E17" s="235" t="s">
        <v>34</v>
      </c>
      <c r="F17" s="235" t="s">
        <v>22</v>
      </c>
      <c r="G17" s="235" t="s">
        <v>18</v>
      </c>
      <c r="H17" s="236" t="s">
        <v>23</v>
      </c>
    </row>
    <row r="18" s="218" customFormat="1" ht="49.9" customHeight="1" spans="2:8">
      <c r="B18" s="234">
        <v>46330</v>
      </c>
      <c r="C18" s="235">
        <v>1.2</v>
      </c>
      <c r="D18" s="235" t="s">
        <v>24</v>
      </c>
      <c r="E18" s="235" t="s">
        <v>35</v>
      </c>
      <c r="F18" s="235" t="s">
        <v>26</v>
      </c>
      <c r="G18" s="235" t="s">
        <v>18</v>
      </c>
      <c r="H18" s="236" t="s">
        <v>27</v>
      </c>
    </row>
    <row r="19" s="217" customFormat="1" ht="49.9" customHeight="1" spans="2:8">
      <c r="B19" s="234" t="s">
        <v>36</v>
      </c>
      <c r="C19" s="235">
        <v>1.2</v>
      </c>
      <c r="D19" s="235" t="s">
        <v>37</v>
      </c>
      <c r="E19" s="235" t="s">
        <v>38</v>
      </c>
      <c r="F19" s="235" t="s">
        <v>18</v>
      </c>
      <c r="G19" s="235"/>
      <c r="H19" s="236" t="s">
        <v>39</v>
      </c>
    </row>
    <row r="20" s="217" customFormat="1" ht="49.9" customHeight="1" spans="2:8">
      <c r="B20" s="234" t="s">
        <v>40</v>
      </c>
      <c r="C20" s="235">
        <v>1.3</v>
      </c>
      <c r="D20" s="235" t="s">
        <v>41</v>
      </c>
      <c r="E20" s="235" t="s">
        <v>42</v>
      </c>
      <c r="F20" s="235" t="s">
        <v>26</v>
      </c>
      <c r="G20" s="235"/>
      <c r="H20" s="236" t="s">
        <v>43</v>
      </c>
    </row>
    <row r="21" s="217" customFormat="1" ht="49.9" customHeight="1" spans="2:8">
      <c r="B21" s="234" t="s">
        <v>44</v>
      </c>
      <c r="C21" s="235">
        <v>1.3</v>
      </c>
      <c r="D21" s="235" t="s">
        <v>28</v>
      </c>
      <c r="E21" s="235" t="s">
        <v>45</v>
      </c>
      <c r="F21" s="235" t="s">
        <v>18</v>
      </c>
      <c r="G21" s="235"/>
      <c r="H21" s="236" t="s">
        <v>30</v>
      </c>
    </row>
    <row r="22" s="217" customFormat="1" ht="49.9" customHeight="1" spans="2:8">
      <c r="B22" s="234" t="s">
        <v>44</v>
      </c>
      <c r="C22" s="235">
        <v>1.3</v>
      </c>
      <c r="D22" s="235" t="s">
        <v>31</v>
      </c>
      <c r="E22" s="235" t="s">
        <v>46</v>
      </c>
      <c r="F22" s="235" t="s">
        <v>18</v>
      </c>
      <c r="G22" s="235"/>
      <c r="H22" s="236" t="s">
        <v>33</v>
      </c>
    </row>
    <row r="23" s="217" customFormat="1" ht="49.9" customHeight="1" spans="2:8">
      <c r="B23" s="234">
        <v>46134</v>
      </c>
      <c r="C23" s="235" t="s">
        <v>47</v>
      </c>
      <c r="D23" s="235" t="s">
        <v>48</v>
      </c>
      <c r="E23" s="235" t="s">
        <v>49</v>
      </c>
      <c r="F23" s="235" t="s">
        <v>18</v>
      </c>
      <c r="G23" s="235"/>
      <c r="H23" s="236" t="s">
        <v>50</v>
      </c>
    </row>
    <row r="24" s="217" customFormat="1" ht="49.9" customHeight="1" spans="2:8">
      <c r="B24" s="234">
        <v>46135</v>
      </c>
      <c r="C24" s="235" t="s">
        <v>51</v>
      </c>
      <c r="D24" s="235" t="s">
        <v>20</v>
      </c>
      <c r="E24" s="235" t="s">
        <v>52</v>
      </c>
      <c r="F24" s="235" t="s">
        <v>22</v>
      </c>
      <c r="G24" s="235"/>
      <c r="H24" s="236"/>
    </row>
    <row r="25" s="217" customFormat="1" ht="49.9" customHeight="1" spans="2:8">
      <c r="B25" s="234">
        <v>46135</v>
      </c>
      <c r="C25" s="235" t="s">
        <v>51</v>
      </c>
      <c r="D25" s="235" t="s">
        <v>53</v>
      </c>
      <c r="E25" s="235" t="s">
        <v>54</v>
      </c>
      <c r="F25" s="235" t="s">
        <v>22</v>
      </c>
      <c r="G25" s="235"/>
      <c r="H25" s="236"/>
    </row>
    <row r="26" s="217" customFormat="1" ht="49.9" customHeight="1" spans="2:8">
      <c r="B26" s="234">
        <v>46135</v>
      </c>
      <c r="C26" s="235" t="s">
        <v>51</v>
      </c>
      <c r="D26" s="235" t="s">
        <v>55</v>
      </c>
      <c r="E26" s="235" t="s">
        <v>56</v>
      </c>
      <c r="F26" s="235" t="s">
        <v>22</v>
      </c>
      <c r="G26" s="235"/>
      <c r="H26" s="236"/>
    </row>
    <row r="27" ht="49.9" customHeight="1" spans="2:8">
      <c r="B27" s="234">
        <v>46140</v>
      </c>
      <c r="C27" s="235" t="s">
        <v>57</v>
      </c>
      <c r="D27" s="235" t="s">
        <v>58</v>
      </c>
      <c r="E27" s="235" t="s">
        <v>59</v>
      </c>
      <c r="F27" s="235" t="s">
        <v>22</v>
      </c>
      <c r="G27" s="235"/>
      <c r="H27" s="236"/>
    </row>
    <row r="28" ht="49.9" customHeight="1" spans="2:8">
      <c r="B28" s="234"/>
      <c r="C28" s="235"/>
      <c r="D28" s="235"/>
      <c r="E28" s="235"/>
      <c r="F28" s="235"/>
      <c r="G28" s="235"/>
      <c r="H28" s="236"/>
    </row>
    <row r="29" ht="49.9" customHeight="1" spans="2:8">
      <c r="B29" s="237"/>
      <c r="C29" s="238"/>
      <c r="D29" s="238"/>
      <c r="E29" s="238"/>
      <c r="F29" s="238"/>
      <c r="G29" s="238"/>
      <c r="H29" s="239"/>
    </row>
    <row r="30" ht="44.45" customHeight="1" spans="2:8">
      <c r="B30" s="240"/>
      <c r="C30" s="241"/>
      <c r="D30" s="241"/>
      <c r="E30" s="241"/>
      <c r="F30" s="241"/>
      <c r="G30" s="241"/>
      <c r="H30" s="241"/>
    </row>
    <row r="31" ht="39" customHeight="1" spans="2:8">
      <c r="B31" s="240"/>
      <c r="C31" s="241"/>
      <c r="D31" s="241"/>
      <c r="E31" s="241"/>
      <c r="F31" s="241"/>
      <c r="G31" s="241"/>
      <c r="H31" s="241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2"/>
  <sheetViews>
    <sheetView zoomScale="85" zoomScaleNormal="85" workbookViewId="0">
      <selection activeCell="D15" sqref="D15:G15"/>
    </sheetView>
  </sheetViews>
  <sheetFormatPr defaultColWidth="8.87962962962963" defaultRowHeight="13.2"/>
  <cols>
    <col min="1" max="1" width="22.5" customWidth="1"/>
    <col min="2" max="2" width="18" customWidth="1"/>
    <col min="3" max="3" width="32.5" customWidth="1"/>
  </cols>
  <sheetData>
    <row r="1" spans="1:11">
      <c r="A1" s="79" t="s">
        <v>0</v>
      </c>
      <c r="B1" s="144" t="s">
        <v>60</v>
      </c>
      <c r="C1" s="144"/>
      <c r="D1" s="144"/>
      <c r="E1" s="81"/>
      <c r="F1" s="81"/>
      <c r="G1" s="81"/>
      <c r="H1" s="81"/>
      <c r="I1" s="81"/>
      <c r="J1" s="82"/>
      <c r="K1" s="81"/>
    </row>
    <row r="2" ht="13.95" spans="1:11">
      <c r="A2" s="83"/>
      <c r="B2" s="145"/>
      <c r="C2" s="145"/>
      <c r="D2" s="145"/>
      <c r="E2" s="81"/>
      <c r="F2" s="81"/>
      <c r="G2" s="81"/>
      <c r="H2" s="81"/>
      <c r="I2" s="81"/>
      <c r="J2" s="82"/>
      <c r="K2" s="81"/>
    </row>
    <row r="3" spans="1:11">
      <c r="A3" s="85" t="s">
        <v>61</v>
      </c>
      <c r="B3" s="86" t="s">
        <v>62</v>
      </c>
      <c r="C3" s="86"/>
      <c r="D3" s="87"/>
      <c r="E3" s="88"/>
      <c r="F3" s="88"/>
      <c r="G3" s="88"/>
      <c r="H3" s="88"/>
      <c r="I3" s="89"/>
      <c r="J3" s="89"/>
      <c r="K3" s="89"/>
    </row>
    <row r="4" spans="1:11">
      <c r="A4" s="91" t="s">
        <v>63</v>
      </c>
      <c r="B4" s="92" t="s">
        <v>64</v>
      </c>
      <c r="C4" s="93"/>
      <c r="D4" s="94"/>
      <c r="E4" s="88"/>
      <c r="F4" s="88"/>
      <c r="G4" s="88"/>
      <c r="H4" s="88"/>
      <c r="I4" s="89"/>
      <c r="J4" s="89"/>
      <c r="K4" s="89"/>
    </row>
    <row r="5" spans="1:11">
      <c r="A5" s="91" t="s">
        <v>65</v>
      </c>
      <c r="B5" s="95" t="s">
        <v>66</v>
      </c>
      <c r="C5" s="96"/>
      <c r="D5" s="97"/>
      <c r="E5" s="98"/>
      <c r="F5" s="98"/>
      <c r="G5" s="98"/>
      <c r="H5" s="98"/>
      <c r="I5" s="99"/>
      <c r="J5" s="99"/>
      <c r="K5" s="99"/>
    </row>
    <row r="6" spans="1:11">
      <c r="A6" s="101" t="s">
        <v>67</v>
      </c>
      <c r="B6" s="102">
        <v>0</v>
      </c>
      <c r="C6" s="103" t="s">
        <v>68</v>
      </c>
      <c r="D6" s="104">
        <v>11</v>
      </c>
      <c r="E6" s="89"/>
      <c r="F6" s="89"/>
      <c r="G6" s="89"/>
      <c r="H6" s="89"/>
      <c r="I6" s="89"/>
      <c r="J6" s="89"/>
      <c r="K6" s="89"/>
    </row>
    <row r="7" ht="13.95" spans="1:11">
      <c r="A7" s="105" t="s">
        <v>69</v>
      </c>
      <c r="B7" s="106">
        <v>0</v>
      </c>
      <c r="C7" s="107" t="s">
        <v>70</v>
      </c>
      <c r="D7" s="108">
        <v>11</v>
      </c>
      <c r="E7" s="109"/>
      <c r="F7" s="109"/>
      <c r="G7" s="109"/>
      <c r="H7" s="109"/>
      <c r="I7" s="89"/>
      <c r="J7" s="89"/>
      <c r="K7" s="89"/>
    </row>
    <row r="8" spans="1:11">
      <c r="A8" s="110"/>
      <c r="B8" s="110"/>
      <c r="C8" s="110"/>
      <c r="D8" s="110"/>
      <c r="E8" s="89"/>
      <c r="F8" s="89"/>
      <c r="G8" s="89"/>
      <c r="H8" s="89"/>
      <c r="I8" s="89"/>
      <c r="J8" s="111"/>
      <c r="K8" s="111"/>
    </row>
    <row r="9" spans="1:11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</row>
    <row r="10" spans="1:11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</row>
    <row r="11" ht="15" spans="1: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pans="1:11">
      <c r="A12" s="127" t="s">
        <v>79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ht="79.2" spans="1:11">
      <c r="A13" s="130" t="s">
        <v>80</v>
      </c>
      <c r="B13" s="132" t="s">
        <v>81</v>
      </c>
      <c r="C13" s="132" t="s">
        <v>82</v>
      </c>
      <c r="D13" s="147" t="s">
        <v>83</v>
      </c>
      <c r="E13" s="134"/>
      <c r="F13" s="134"/>
      <c r="G13" s="135"/>
      <c r="H13" s="134"/>
      <c r="I13" s="136"/>
      <c r="J13" s="132" t="s">
        <v>68</v>
      </c>
      <c r="K13" s="132"/>
    </row>
    <row r="14" spans="1:11">
      <c r="A14" s="127" t="s">
        <v>84</v>
      </c>
      <c r="B14" s="128"/>
      <c r="C14" s="128"/>
      <c r="D14" s="128"/>
      <c r="E14" s="128"/>
      <c r="F14" s="128"/>
      <c r="G14" s="128"/>
      <c r="H14" s="128"/>
      <c r="I14" s="128"/>
      <c r="J14" s="128"/>
      <c r="K14" s="129"/>
    </row>
    <row r="15" ht="79.2" spans="1:11">
      <c r="A15" s="148" t="s">
        <v>85</v>
      </c>
      <c r="B15" s="148" t="s">
        <v>86</v>
      </c>
      <c r="C15" s="148" t="s">
        <v>87</v>
      </c>
      <c r="D15" s="149" t="s">
        <v>88</v>
      </c>
      <c r="E15" s="150"/>
      <c r="F15" s="150"/>
      <c r="G15" s="151"/>
      <c r="H15" s="152"/>
      <c r="I15" s="152"/>
      <c r="J15" s="153" t="s">
        <v>68</v>
      </c>
      <c r="K15" s="152"/>
    </row>
    <row r="16" spans="1:11">
      <c r="A16" s="127" t="s">
        <v>89</v>
      </c>
      <c r="B16" s="128"/>
      <c r="C16" s="128"/>
      <c r="D16" s="128"/>
      <c r="E16" s="128"/>
      <c r="F16" s="128"/>
      <c r="G16" s="128"/>
      <c r="H16" s="128"/>
      <c r="I16" s="128"/>
      <c r="J16" s="128"/>
      <c r="K16" s="129"/>
    </row>
    <row r="17" ht="26.4" spans="1:11">
      <c r="A17" s="130" t="s">
        <v>90</v>
      </c>
      <c r="B17" s="140" t="s">
        <v>91</v>
      </c>
      <c r="C17" s="140" t="s">
        <v>92</v>
      </c>
      <c r="D17" s="147" t="s">
        <v>93</v>
      </c>
      <c r="E17" s="200"/>
      <c r="F17" s="200"/>
      <c r="G17" s="201"/>
      <c r="H17" s="134"/>
      <c r="I17" s="133"/>
      <c r="J17" s="132" t="s">
        <v>68</v>
      </c>
      <c r="K17" s="132"/>
    </row>
    <row r="18" spans="1:11">
      <c r="A18" s="127" t="s">
        <v>94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9"/>
    </row>
    <row r="19" ht="39.6" spans="1:11">
      <c r="A19" s="130" t="s">
        <v>95</v>
      </c>
      <c r="B19" s="132" t="s">
        <v>96</v>
      </c>
      <c r="C19" s="132" t="s">
        <v>97</v>
      </c>
      <c r="D19" s="133" t="s">
        <v>98</v>
      </c>
      <c r="E19" s="134"/>
      <c r="F19" s="134"/>
      <c r="G19" s="135"/>
      <c r="H19" s="134"/>
      <c r="I19" s="133"/>
      <c r="J19" s="132" t="s">
        <v>68</v>
      </c>
      <c r="K19" s="132"/>
    </row>
    <row r="20" spans="1:11">
      <c r="A20" s="127" t="s">
        <v>99</v>
      </c>
      <c r="B20" s="128"/>
      <c r="C20" s="128"/>
      <c r="D20" s="128"/>
      <c r="E20" s="128"/>
      <c r="F20" s="128"/>
      <c r="G20" s="128"/>
      <c r="H20" s="128"/>
      <c r="I20" s="128"/>
      <c r="J20" s="128"/>
      <c r="K20" s="129"/>
    </row>
    <row r="21" ht="66" spans="1:11">
      <c r="A21" s="130" t="s">
        <v>100</v>
      </c>
      <c r="B21" s="132" t="s">
        <v>101</v>
      </c>
      <c r="C21" s="132" t="s">
        <v>102</v>
      </c>
      <c r="D21" s="133" t="s">
        <v>103</v>
      </c>
      <c r="E21" s="134"/>
      <c r="F21" s="134"/>
      <c r="G21" s="135"/>
      <c r="H21" s="134"/>
      <c r="I21" s="133"/>
      <c r="J21" s="132" t="s">
        <v>68</v>
      </c>
      <c r="K21" s="132"/>
    </row>
    <row r="22" ht="66" spans="1:11">
      <c r="A22" s="130" t="s">
        <v>104</v>
      </c>
      <c r="B22" s="132" t="s">
        <v>105</v>
      </c>
      <c r="C22" s="132" t="s">
        <v>106</v>
      </c>
      <c r="D22" s="133" t="s">
        <v>107</v>
      </c>
      <c r="E22" s="134"/>
      <c r="F22" s="134"/>
      <c r="G22" s="135"/>
      <c r="H22" s="132"/>
      <c r="I22" s="132"/>
      <c r="J22" s="132" t="s">
        <v>68</v>
      </c>
      <c r="K22" s="132"/>
    </row>
    <row r="23" spans="1:11">
      <c r="A23" s="127" t="s">
        <v>108</v>
      </c>
      <c r="B23" s="128"/>
      <c r="C23" s="128"/>
      <c r="D23" s="128"/>
      <c r="E23" s="128"/>
      <c r="F23" s="128"/>
      <c r="G23" s="128"/>
      <c r="H23" s="128"/>
      <c r="I23" s="128"/>
      <c r="J23" s="128"/>
      <c r="K23" s="129"/>
    </row>
    <row r="24" ht="66.95" customHeight="1" spans="1:11">
      <c r="A24" s="130" t="s">
        <v>109</v>
      </c>
      <c r="B24" s="132" t="s">
        <v>110</v>
      </c>
      <c r="C24" s="132" t="s">
        <v>111</v>
      </c>
      <c r="D24" s="133" t="s">
        <v>112</v>
      </c>
      <c r="E24" s="134"/>
      <c r="F24" s="134"/>
      <c r="G24" s="135"/>
      <c r="H24" s="132"/>
      <c r="I24" s="132"/>
      <c r="J24" s="132" t="s">
        <v>68</v>
      </c>
      <c r="K24" s="132"/>
    </row>
    <row r="25" ht="99" customHeight="1" spans="1:11">
      <c r="A25" s="130" t="s">
        <v>113</v>
      </c>
      <c r="B25" s="132" t="s">
        <v>114</v>
      </c>
      <c r="C25" s="132" t="s">
        <v>115</v>
      </c>
      <c r="D25" s="133" t="s">
        <v>116</v>
      </c>
      <c r="E25" s="134"/>
      <c r="F25" s="134"/>
      <c r="G25" s="135"/>
      <c r="H25" s="132"/>
      <c r="I25" s="132"/>
      <c r="J25" s="132" t="s">
        <v>68</v>
      </c>
      <c r="K25" s="132"/>
    </row>
    <row r="26" spans="1:11">
      <c r="A26" s="127" t="s">
        <v>117</v>
      </c>
      <c r="B26" s="128"/>
      <c r="C26" s="128"/>
      <c r="D26" s="128"/>
      <c r="E26" s="128"/>
      <c r="F26" s="128"/>
      <c r="G26" s="128"/>
      <c r="H26" s="128"/>
      <c r="I26" s="128"/>
      <c r="J26" s="128"/>
      <c r="K26" s="129"/>
    </row>
    <row r="27" s="199" customFormat="1" ht="66" spans="1:11">
      <c r="A27" s="130" t="s">
        <v>118</v>
      </c>
      <c r="B27" s="132" t="s">
        <v>119</v>
      </c>
      <c r="C27" s="132" t="s">
        <v>120</v>
      </c>
      <c r="D27" s="133" t="s">
        <v>121</v>
      </c>
      <c r="E27" s="134"/>
      <c r="F27" s="134"/>
      <c r="G27" s="135"/>
      <c r="H27" s="132"/>
      <c r="I27" s="132"/>
      <c r="J27" s="132" t="s">
        <v>68</v>
      </c>
      <c r="K27" s="132"/>
    </row>
    <row r="28" ht="26.4" spans="1:11">
      <c r="A28" s="202" t="s">
        <v>122</v>
      </c>
      <c r="B28" s="132" t="s">
        <v>123</v>
      </c>
      <c r="C28" s="132" t="s">
        <v>124</v>
      </c>
      <c r="D28" s="133" t="s">
        <v>125</v>
      </c>
      <c r="E28" s="134"/>
      <c r="F28" s="134"/>
      <c r="G28" s="135"/>
      <c r="H28" s="132"/>
      <c r="I28" s="132"/>
      <c r="J28" s="132" t="s">
        <v>68</v>
      </c>
      <c r="K28" s="132"/>
    </row>
    <row r="29" ht="26.4" spans="1:11">
      <c r="A29" s="130" t="s">
        <v>126</v>
      </c>
      <c r="B29" s="135" t="s">
        <v>127</v>
      </c>
      <c r="C29" s="132" t="s">
        <v>128</v>
      </c>
      <c r="D29" s="133" t="s">
        <v>129</v>
      </c>
      <c r="E29" s="134"/>
      <c r="F29" s="134"/>
      <c r="G29" s="135"/>
      <c r="H29" s="203"/>
      <c r="I29" s="203"/>
      <c r="J29" s="132" t="s">
        <v>68</v>
      </c>
      <c r="K29" s="203"/>
    </row>
    <row r="30" spans="1:11">
      <c r="A30" s="204" t="s">
        <v>130</v>
      </c>
      <c r="B30" s="205"/>
      <c r="C30" s="205"/>
      <c r="D30" s="205"/>
      <c r="E30" s="205"/>
      <c r="F30" s="205"/>
      <c r="G30" s="205"/>
      <c r="H30" s="205"/>
      <c r="I30" s="205"/>
      <c r="J30" s="205"/>
      <c r="K30" s="206"/>
    </row>
    <row r="31" ht="105.6" spans="1:11">
      <c r="A31" s="130" t="s">
        <v>80</v>
      </c>
      <c r="B31" s="132" t="s">
        <v>131</v>
      </c>
      <c r="C31" s="132" t="s">
        <v>132</v>
      </c>
      <c r="D31" s="207" t="s">
        <v>133</v>
      </c>
      <c r="E31" s="132"/>
      <c r="F31" s="132"/>
      <c r="G31" s="132"/>
      <c r="H31" s="132"/>
      <c r="I31" s="185"/>
      <c r="J31" s="132" t="s">
        <v>68</v>
      </c>
      <c r="K31" s="132"/>
    </row>
    <row r="32" ht="52.8" spans="1:11">
      <c r="A32" s="208" t="s">
        <v>85</v>
      </c>
      <c r="B32" s="208" t="s">
        <v>134</v>
      </c>
      <c r="C32" s="209" t="s">
        <v>135</v>
      </c>
      <c r="D32" s="210" t="s">
        <v>136</v>
      </c>
      <c r="E32" s="211"/>
      <c r="F32" s="211"/>
      <c r="G32" s="212"/>
      <c r="H32" s="209"/>
      <c r="I32" s="209"/>
      <c r="J32" s="208" t="s">
        <v>68</v>
      </c>
      <c r="K32" s="208"/>
    </row>
    <row r="33" ht="52.8" spans="1:11">
      <c r="A33" s="130" t="s">
        <v>90</v>
      </c>
      <c r="B33" s="132" t="s">
        <v>137</v>
      </c>
      <c r="C33" s="132" t="s">
        <v>138</v>
      </c>
      <c r="D33" s="207" t="s">
        <v>139</v>
      </c>
      <c r="E33" s="132"/>
      <c r="F33" s="132"/>
      <c r="G33" s="132"/>
      <c r="H33" s="132"/>
      <c r="I33" s="185"/>
      <c r="J33" s="132" t="s">
        <v>68</v>
      </c>
      <c r="K33" s="132"/>
    </row>
    <row r="34" ht="66" spans="1:11">
      <c r="A34" s="130" t="s">
        <v>95</v>
      </c>
      <c r="B34" s="132" t="s">
        <v>140</v>
      </c>
      <c r="C34" s="132" t="s">
        <v>141</v>
      </c>
      <c r="D34" s="207" t="s">
        <v>142</v>
      </c>
      <c r="E34" s="132"/>
      <c r="F34" s="132"/>
      <c r="G34" s="132"/>
      <c r="H34" s="132"/>
      <c r="I34" s="185"/>
      <c r="J34" s="132" t="s">
        <v>68</v>
      </c>
      <c r="K34" s="132"/>
    </row>
    <row r="35" ht="52.8" spans="1:11">
      <c r="A35" s="130" t="s">
        <v>100</v>
      </c>
      <c r="B35" s="132" t="s">
        <v>143</v>
      </c>
      <c r="C35" s="132" t="s">
        <v>144</v>
      </c>
      <c r="D35" s="207" t="s">
        <v>145</v>
      </c>
      <c r="E35" s="132"/>
      <c r="F35" s="132"/>
      <c r="G35" s="132"/>
      <c r="H35" s="132"/>
      <c r="I35" s="185"/>
      <c r="J35" s="132" t="s">
        <v>68</v>
      </c>
      <c r="K35" s="132"/>
    </row>
    <row r="36" ht="66" spans="1:11">
      <c r="A36" s="130" t="s">
        <v>104</v>
      </c>
      <c r="B36" s="132" t="s">
        <v>146</v>
      </c>
      <c r="C36" s="132" t="s">
        <v>147</v>
      </c>
      <c r="D36" s="207" t="s">
        <v>148</v>
      </c>
      <c r="E36" s="132"/>
      <c r="F36" s="132"/>
      <c r="G36" s="132"/>
      <c r="H36" s="132"/>
      <c r="I36" s="185"/>
      <c r="J36" s="132" t="s">
        <v>68</v>
      </c>
      <c r="K36" s="132"/>
    </row>
    <row r="37" ht="66" spans="1:11">
      <c r="A37" s="202" t="s">
        <v>109</v>
      </c>
      <c r="B37" s="140" t="s">
        <v>149</v>
      </c>
      <c r="C37" s="140" t="s">
        <v>150</v>
      </c>
      <c r="D37" s="213" t="s">
        <v>151</v>
      </c>
      <c r="E37" s="140"/>
      <c r="F37" s="140"/>
      <c r="G37" s="140"/>
      <c r="H37" s="140"/>
      <c r="I37" s="214"/>
      <c r="J37" s="140" t="s">
        <v>68</v>
      </c>
      <c r="K37" s="140"/>
    </row>
    <row r="38" ht="66" spans="1:11">
      <c r="A38" s="202" t="s">
        <v>113</v>
      </c>
      <c r="B38" s="140" t="s">
        <v>152</v>
      </c>
      <c r="C38" s="140" t="s">
        <v>153</v>
      </c>
      <c r="D38" s="213" t="s">
        <v>154</v>
      </c>
      <c r="E38" s="140"/>
      <c r="F38" s="140"/>
      <c r="G38" s="140"/>
      <c r="H38" s="140"/>
      <c r="I38" s="214"/>
      <c r="J38" s="140" t="s">
        <v>68</v>
      </c>
      <c r="K38" s="140"/>
    </row>
    <row r="39" ht="92.4" spans="1:11">
      <c r="A39" s="130" t="s">
        <v>118</v>
      </c>
      <c r="B39" s="132" t="s">
        <v>155</v>
      </c>
      <c r="C39" s="132" t="s">
        <v>156</v>
      </c>
      <c r="D39" s="207" t="s">
        <v>157</v>
      </c>
      <c r="E39" s="132"/>
      <c r="F39" s="132"/>
      <c r="G39" s="132"/>
      <c r="H39" s="132"/>
      <c r="I39" s="185"/>
      <c r="J39" s="132" t="s">
        <v>68</v>
      </c>
      <c r="K39" s="132"/>
    </row>
    <row r="40" ht="79.2" spans="1:11">
      <c r="A40" s="130" t="s">
        <v>122</v>
      </c>
      <c r="B40" s="132" t="s">
        <v>158</v>
      </c>
      <c r="C40" s="132" t="s">
        <v>159</v>
      </c>
      <c r="D40" s="207" t="s">
        <v>160</v>
      </c>
      <c r="E40" s="132"/>
      <c r="F40" s="132"/>
      <c r="G40" s="132"/>
      <c r="H40" s="132"/>
      <c r="I40" s="185"/>
      <c r="J40" s="132" t="s">
        <v>68</v>
      </c>
      <c r="K40" s="132"/>
    </row>
    <row r="41" ht="79.2" spans="1:11">
      <c r="A41" s="130" t="s">
        <v>126</v>
      </c>
      <c r="B41" s="132" t="s">
        <v>158</v>
      </c>
      <c r="C41" s="132" t="s">
        <v>159</v>
      </c>
      <c r="D41" s="207" t="s">
        <v>160</v>
      </c>
      <c r="E41" s="132"/>
      <c r="F41" s="132"/>
      <c r="G41" s="132"/>
      <c r="H41" s="132"/>
      <c r="I41" s="185"/>
      <c r="J41" s="132" t="s">
        <v>68</v>
      </c>
      <c r="K41" s="132"/>
    </row>
    <row r="42" ht="105.6" spans="1:11">
      <c r="A42" s="130" t="s">
        <v>161</v>
      </c>
      <c r="B42" s="132" t="s">
        <v>162</v>
      </c>
      <c r="C42" s="132" t="s">
        <v>163</v>
      </c>
      <c r="D42" s="207" t="s">
        <v>164</v>
      </c>
      <c r="E42" s="132"/>
      <c r="F42" s="132"/>
      <c r="G42" s="132"/>
      <c r="H42" s="132"/>
      <c r="I42" s="185"/>
      <c r="J42" s="132" t="s">
        <v>68</v>
      </c>
      <c r="K42" s="132"/>
    </row>
  </sheetData>
  <mergeCells count="4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G13"/>
    <mergeCell ref="A14:K14"/>
    <mergeCell ref="D15:G15"/>
    <mergeCell ref="A16:C16"/>
    <mergeCell ref="D17:G17"/>
    <mergeCell ref="A18:C18"/>
    <mergeCell ref="D19:G19"/>
    <mergeCell ref="A20:C20"/>
    <mergeCell ref="D21:G21"/>
    <mergeCell ref="D22:G22"/>
    <mergeCell ref="A23:K23"/>
    <mergeCell ref="D24:G24"/>
    <mergeCell ref="D25:G25"/>
    <mergeCell ref="A26:K26"/>
    <mergeCell ref="D27:G27"/>
    <mergeCell ref="D28:G28"/>
    <mergeCell ref="D29:G29"/>
    <mergeCell ref="A30:K30"/>
    <mergeCell ref="D31:G31"/>
    <mergeCell ref="D32:G32"/>
    <mergeCell ref="D33:G33"/>
    <mergeCell ref="D34:G34"/>
    <mergeCell ref="D35:G35"/>
    <mergeCell ref="D36:G36"/>
    <mergeCell ref="D37:G37"/>
    <mergeCell ref="D38:G38"/>
    <mergeCell ref="D39:G39"/>
    <mergeCell ref="D40:G40"/>
    <mergeCell ref="D41:G41"/>
    <mergeCell ref="D42:G4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workbookViewId="0">
      <selection activeCell="A12" sqref="A12:K12"/>
    </sheetView>
  </sheetViews>
  <sheetFormatPr defaultColWidth="8.87962962962963" defaultRowHeight="13.2"/>
  <cols>
    <col min="1" max="1" width="15.1296296296296" customWidth="1"/>
    <col min="2" max="2" width="37.8796296296296" customWidth="1"/>
    <col min="3" max="3" width="60.8796296296296" customWidth="1"/>
  </cols>
  <sheetData>
    <row r="1" spans="1:11">
      <c r="A1" s="79" t="s">
        <v>0</v>
      </c>
      <c r="B1" s="144" t="s">
        <v>165</v>
      </c>
      <c r="C1" s="144"/>
      <c r="D1" s="144"/>
    </row>
    <row r="2" ht="13.95" spans="1:11">
      <c r="A2" s="83"/>
      <c r="B2" s="145"/>
      <c r="C2" s="145"/>
      <c r="D2" s="145"/>
    </row>
    <row r="3" spans="1:11">
      <c r="A3" s="85" t="s">
        <v>61</v>
      </c>
      <c r="B3" s="86" t="s">
        <v>62</v>
      </c>
      <c r="C3" s="86"/>
      <c r="D3" s="87"/>
    </row>
    <row r="4" ht="26.4" spans="1:11">
      <c r="A4" s="91" t="s">
        <v>63</v>
      </c>
      <c r="B4" s="92" t="s">
        <v>166</v>
      </c>
      <c r="C4" s="93"/>
      <c r="D4" s="94"/>
    </row>
    <row r="5" ht="26.4" spans="1:11">
      <c r="A5" s="91" t="s">
        <v>65</v>
      </c>
      <c r="B5" s="95" t="s">
        <v>66</v>
      </c>
      <c r="C5" s="96"/>
      <c r="D5" s="97"/>
    </row>
    <row r="6" spans="1:11">
      <c r="A6" s="101" t="s">
        <v>67</v>
      </c>
      <c r="B6" s="102">
        <v>0</v>
      </c>
      <c r="C6" s="103" t="s">
        <v>68</v>
      </c>
      <c r="D6" s="104">
        <v>10</v>
      </c>
    </row>
    <row r="7" ht="13.95" spans="1:11">
      <c r="A7" s="105" t="s">
        <v>69</v>
      </c>
      <c r="B7" s="106">
        <v>0</v>
      </c>
      <c r="C7" s="107" t="s">
        <v>70</v>
      </c>
      <c r="D7" s="108">
        <v>10</v>
      </c>
    </row>
    <row r="9" spans="1:11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</row>
    <row r="10" spans="1:11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</row>
    <row r="11" ht="15" spans="1: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pans="1:11">
      <c r="A12" s="127" t="s">
        <v>167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ht="90" customHeight="1" spans="1:11">
      <c r="A13" s="130" t="s">
        <v>80</v>
      </c>
      <c r="B13" s="191" t="s">
        <v>168</v>
      </c>
      <c r="C13" s="132" t="s">
        <v>169</v>
      </c>
      <c r="D13" s="147" t="s">
        <v>170</v>
      </c>
      <c r="E13" s="134"/>
      <c r="F13" s="134"/>
      <c r="G13" s="135"/>
      <c r="H13" s="134"/>
      <c r="I13" s="136"/>
      <c r="J13" s="132" t="s">
        <v>68</v>
      </c>
      <c r="K13" s="132"/>
    </row>
    <row r="14" ht="93" customHeight="1" spans="1:11">
      <c r="A14" s="130" t="s">
        <v>85</v>
      </c>
      <c r="B14" s="132" t="s">
        <v>171</v>
      </c>
      <c r="C14" s="132" t="s">
        <v>172</v>
      </c>
      <c r="D14" s="147" t="s">
        <v>173</v>
      </c>
      <c r="E14" s="134"/>
      <c r="F14" s="134"/>
      <c r="G14" s="135"/>
      <c r="H14" s="134"/>
      <c r="I14" s="136"/>
      <c r="J14" s="132" t="s">
        <v>68</v>
      </c>
      <c r="K14" s="132"/>
    </row>
    <row r="15" ht="63.95" customHeight="1" spans="1:11">
      <c r="A15" s="130" t="s">
        <v>90</v>
      </c>
      <c r="B15" s="132" t="s">
        <v>174</v>
      </c>
      <c r="C15" s="132" t="s">
        <v>175</v>
      </c>
      <c r="D15" s="147" t="s">
        <v>176</v>
      </c>
      <c r="E15" s="134"/>
      <c r="F15" s="134"/>
      <c r="G15" s="135"/>
      <c r="H15" s="134"/>
      <c r="I15" s="136"/>
      <c r="J15" s="132" t="s">
        <v>68</v>
      </c>
      <c r="K15" s="132"/>
    </row>
    <row r="16" ht="39.6" spans="1:11">
      <c r="A16" s="130" t="s">
        <v>95</v>
      </c>
      <c r="B16" s="132" t="s">
        <v>177</v>
      </c>
      <c r="C16" s="132" t="s">
        <v>178</v>
      </c>
      <c r="D16" s="147" t="s">
        <v>179</v>
      </c>
      <c r="E16" s="134"/>
      <c r="F16" s="134"/>
      <c r="G16" s="135"/>
      <c r="H16" s="134"/>
      <c r="I16" s="136"/>
      <c r="J16" s="132" t="s">
        <v>68</v>
      </c>
      <c r="K16" s="132"/>
    </row>
    <row r="17" ht="39.6" spans="1:11">
      <c r="A17" s="130" t="s">
        <v>100</v>
      </c>
      <c r="B17" s="132" t="s">
        <v>180</v>
      </c>
      <c r="C17" s="132" t="s">
        <v>181</v>
      </c>
      <c r="D17" s="147" t="s">
        <v>182</v>
      </c>
      <c r="E17" s="134"/>
      <c r="F17" s="134"/>
      <c r="G17" s="135"/>
      <c r="H17" s="134"/>
      <c r="I17" s="136"/>
      <c r="J17" s="132" t="s">
        <v>68</v>
      </c>
      <c r="K17" s="132"/>
    </row>
    <row r="18" ht="75.95" customHeight="1" spans="1:11">
      <c r="A18" s="130" t="s">
        <v>104</v>
      </c>
      <c r="B18" s="132" t="s">
        <v>183</v>
      </c>
      <c r="C18" s="132" t="s">
        <v>184</v>
      </c>
      <c r="D18" s="147" t="s">
        <v>185</v>
      </c>
      <c r="E18" s="134"/>
      <c r="F18" s="134"/>
      <c r="G18" s="135"/>
      <c r="H18" s="134"/>
      <c r="I18" s="136"/>
      <c r="J18" s="132" t="s">
        <v>68</v>
      </c>
      <c r="K18" s="132"/>
    </row>
    <row r="19" ht="72" customHeight="1" spans="1:11">
      <c r="A19" s="130" t="s">
        <v>109</v>
      </c>
      <c r="B19" s="132" t="s">
        <v>186</v>
      </c>
      <c r="C19" s="132" t="s">
        <v>187</v>
      </c>
      <c r="D19" s="147" t="s">
        <v>188</v>
      </c>
      <c r="E19" s="134"/>
      <c r="F19" s="134"/>
      <c r="G19" s="135"/>
      <c r="H19" s="134"/>
      <c r="I19" s="136"/>
      <c r="J19" s="132" t="s">
        <v>68</v>
      </c>
      <c r="K19" s="132"/>
    </row>
    <row r="20" spans="1:11">
      <c r="A20" s="127" t="s">
        <v>189</v>
      </c>
      <c r="B20" s="128"/>
      <c r="C20" s="128"/>
      <c r="D20" s="128"/>
      <c r="E20" s="128"/>
      <c r="F20" s="128"/>
      <c r="G20" s="128"/>
      <c r="H20" s="128"/>
      <c r="I20" s="128"/>
      <c r="J20" s="128"/>
      <c r="K20" s="129"/>
    </row>
    <row r="21" ht="41.1" customHeight="1" spans="1:11">
      <c r="A21" s="130" t="s">
        <v>113</v>
      </c>
      <c r="B21" s="192" t="s">
        <v>190</v>
      </c>
      <c r="C21" s="132" t="s">
        <v>191</v>
      </c>
      <c r="D21" s="147" t="s">
        <v>192</v>
      </c>
      <c r="E21" s="134"/>
      <c r="F21" s="134"/>
      <c r="G21" s="135"/>
      <c r="H21" s="134"/>
      <c r="I21" s="136"/>
      <c r="J21" s="132" t="s">
        <v>68</v>
      </c>
      <c r="K21" s="132"/>
    </row>
    <row r="22" ht="41.1" customHeight="1" spans="1:11">
      <c r="A22" s="130" t="s">
        <v>118</v>
      </c>
      <c r="B22" s="192" t="s">
        <v>193</v>
      </c>
      <c r="C22" s="132" t="s">
        <v>194</v>
      </c>
      <c r="D22" s="147" t="s">
        <v>195</v>
      </c>
      <c r="E22" s="134"/>
      <c r="F22" s="134"/>
      <c r="G22" s="135"/>
      <c r="H22" s="134"/>
      <c r="I22" s="136"/>
      <c r="J22" s="132" t="s">
        <v>68</v>
      </c>
      <c r="K22" s="132"/>
    </row>
    <row r="23" ht="41.1" customHeight="1" spans="1:11">
      <c r="A23" s="130" t="s">
        <v>122</v>
      </c>
      <c r="B23" s="192" t="s">
        <v>196</v>
      </c>
      <c r="C23" s="132" t="s">
        <v>197</v>
      </c>
      <c r="D23" s="147" t="s">
        <v>198</v>
      </c>
      <c r="E23" s="134"/>
      <c r="F23" s="134"/>
      <c r="G23" s="135"/>
      <c r="H23" s="134"/>
      <c r="I23" s="136"/>
      <c r="J23" s="132" t="s">
        <v>68</v>
      </c>
      <c r="K23" s="132"/>
    </row>
    <row r="24" spans="1:11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</row>
    <row r="25" ht="35.1" customHeight="1" spans="1:11">
      <c r="A25" s="194"/>
      <c r="B25" s="195"/>
      <c r="C25" s="196"/>
      <c r="D25" s="197"/>
      <c r="E25" s="196"/>
      <c r="F25" s="196"/>
      <c r="G25" s="196"/>
      <c r="H25" s="196"/>
      <c r="I25" s="198"/>
      <c r="J25" s="196"/>
      <c r="K25" s="196"/>
    </row>
    <row r="26" ht="36.95" customHeight="1" spans="1:11">
      <c r="A26" s="194"/>
      <c r="B26" s="195"/>
      <c r="C26" s="196"/>
      <c r="D26" s="197"/>
      <c r="E26" s="196"/>
      <c r="F26" s="196"/>
      <c r="G26" s="196"/>
      <c r="H26" s="196"/>
      <c r="I26" s="198"/>
      <c r="J26" s="196"/>
      <c r="K26" s="196"/>
    </row>
    <row r="27" ht="48" customHeight="1" spans="1:11">
      <c r="A27" s="194"/>
      <c r="B27" s="195"/>
      <c r="C27" s="196"/>
      <c r="D27" s="197"/>
      <c r="E27" s="196"/>
      <c r="F27" s="196"/>
      <c r="G27" s="196"/>
      <c r="H27" s="196"/>
      <c r="I27" s="198"/>
      <c r="J27" s="196"/>
      <c r="K27" s="196"/>
    </row>
  </sheetData>
  <mergeCells count="28">
    <mergeCell ref="B3:D3"/>
    <mergeCell ref="B4:D4"/>
    <mergeCell ref="B5:D5"/>
    <mergeCell ref="A11:K11"/>
    <mergeCell ref="A12:K12"/>
    <mergeCell ref="D13:G13"/>
    <mergeCell ref="D14:G14"/>
    <mergeCell ref="D15:G15"/>
    <mergeCell ref="D16:G16"/>
    <mergeCell ref="D17:G17"/>
    <mergeCell ref="D18:G18"/>
    <mergeCell ref="D19:G19"/>
    <mergeCell ref="A20:K20"/>
    <mergeCell ref="D21:G21"/>
    <mergeCell ref="D22:G22"/>
    <mergeCell ref="D23:G23"/>
    <mergeCell ref="A24:K24"/>
    <mergeCell ref="D25:G25"/>
    <mergeCell ref="D26:G26"/>
    <mergeCell ref="D27:G2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L14" sqref="L14"/>
    </sheetView>
  </sheetViews>
  <sheetFormatPr defaultColWidth="8.87962962962963" defaultRowHeight="13.2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>
      <c r="A1" s="79" t="s">
        <v>0</v>
      </c>
      <c r="B1" s="144" t="s">
        <v>199</v>
      </c>
      <c r="C1" s="144"/>
      <c r="D1" s="144"/>
    </row>
    <row r="2" ht="13.95" spans="1:11">
      <c r="A2" s="83"/>
      <c r="B2" s="145"/>
      <c r="C2" s="145"/>
      <c r="D2" s="145"/>
    </row>
    <row r="3" spans="1:11">
      <c r="A3" s="85" t="s">
        <v>61</v>
      </c>
      <c r="B3" s="86" t="s">
        <v>62</v>
      </c>
      <c r="C3" s="86"/>
      <c r="D3" s="87"/>
    </row>
    <row r="4" spans="1:11">
      <c r="A4" s="91" t="s">
        <v>63</v>
      </c>
      <c r="B4" s="92" t="s">
        <v>200</v>
      </c>
      <c r="C4" s="93"/>
      <c r="D4" s="94"/>
    </row>
    <row r="5" spans="1:11">
      <c r="A5" s="91" t="s">
        <v>65</v>
      </c>
      <c r="B5" s="95" t="s">
        <v>66</v>
      </c>
      <c r="C5" s="96"/>
      <c r="D5" s="97"/>
    </row>
    <row r="6" spans="1:11">
      <c r="A6" s="101" t="s">
        <v>67</v>
      </c>
      <c r="B6" s="102">
        <v>0</v>
      </c>
      <c r="C6" s="103" t="s">
        <v>68</v>
      </c>
      <c r="D6" s="104">
        <v>6</v>
      </c>
    </row>
    <row r="7" ht="13.95" spans="1:11">
      <c r="A7" s="105" t="s">
        <v>69</v>
      </c>
      <c r="B7" s="106">
        <v>0</v>
      </c>
      <c r="C7" s="107" t="s">
        <v>70</v>
      </c>
      <c r="D7" s="108">
        <v>6</v>
      </c>
    </row>
    <row r="9" spans="1:11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</row>
    <row r="10" spans="1:11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</row>
    <row r="11" ht="15" spans="1: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pans="1:11">
      <c r="A12" s="127" t="s">
        <v>201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ht="93" customHeight="1" spans="1:11">
      <c r="A13" s="130" t="s">
        <v>80</v>
      </c>
      <c r="B13" s="132" t="s">
        <v>202</v>
      </c>
      <c r="C13" s="132" t="s">
        <v>203</v>
      </c>
      <c r="D13" s="147" t="s">
        <v>204</v>
      </c>
      <c r="E13" s="134"/>
      <c r="F13" s="134"/>
      <c r="G13" s="135"/>
      <c r="H13" s="134"/>
      <c r="I13" s="136"/>
      <c r="J13" s="132" t="s">
        <v>68</v>
      </c>
      <c r="K13" s="132"/>
    </row>
    <row r="14" ht="36.95" customHeight="1" spans="1:11">
      <c r="A14" s="130" t="s">
        <v>85</v>
      </c>
      <c r="B14" s="132" t="s">
        <v>205</v>
      </c>
      <c r="C14" s="132" t="s">
        <v>206</v>
      </c>
      <c r="D14" s="147" t="s">
        <v>207</v>
      </c>
      <c r="E14" s="134"/>
      <c r="F14" s="134"/>
      <c r="G14" s="135"/>
      <c r="H14" s="134"/>
      <c r="I14" s="136"/>
      <c r="J14" s="132" t="s">
        <v>68</v>
      </c>
      <c r="K14" s="132"/>
    </row>
    <row r="15" ht="66" spans="1:11">
      <c r="A15" s="130" t="s">
        <v>90</v>
      </c>
      <c r="B15" s="132" t="s">
        <v>208</v>
      </c>
      <c r="C15" s="132" t="s">
        <v>209</v>
      </c>
      <c r="D15" s="147" t="s">
        <v>210</v>
      </c>
      <c r="E15" s="134"/>
      <c r="F15" s="134"/>
      <c r="G15" s="135"/>
      <c r="H15" s="134"/>
      <c r="I15" s="136"/>
      <c r="J15" s="132" t="s">
        <v>68</v>
      </c>
      <c r="K15" s="132"/>
    </row>
    <row r="16" ht="66" spans="1:11">
      <c r="A16" s="130" t="s">
        <v>95</v>
      </c>
      <c r="B16" s="132" t="s">
        <v>211</v>
      </c>
      <c r="C16" s="132" t="s">
        <v>212</v>
      </c>
      <c r="D16" s="147" t="s">
        <v>213</v>
      </c>
      <c r="E16" s="134"/>
      <c r="F16" s="134"/>
      <c r="G16" s="135"/>
      <c r="H16" s="134"/>
      <c r="I16" s="136"/>
      <c r="J16" s="132" t="s">
        <v>68</v>
      </c>
      <c r="K16" s="132"/>
    </row>
    <row r="17" ht="52.8" spans="1:11">
      <c r="A17" s="130" t="s">
        <v>100</v>
      </c>
      <c r="B17" s="132" t="s">
        <v>214</v>
      </c>
      <c r="C17" s="132" t="s">
        <v>215</v>
      </c>
      <c r="D17" s="147" t="s">
        <v>216</v>
      </c>
      <c r="E17" s="134"/>
      <c r="F17" s="134"/>
      <c r="G17" s="135"/>
      <c r="H17" s="134"/>
      <c r="I17" s="136"/>
      <c r="J17" s="132" t="s">
        <v>68</v>
      </c>
      <c r="K17" s="132"/>
    </row>
    <row r="18" ht="60" customHeight="1" spans="1:11">
      <c r="A18" s="130" t="s">
        <v>104</v>
      </c>
      <c r="B18" s="132" t="s">
        <v>217</v>
      </c>
      <c r="C18" s="132" t="s">
        <v>218</v>
      </c>
      <c r="D18" s="147" t="s">
        <v>219</v>
      </c>
      <c r="E18" s="134"/>
      <c r="F18" s="134"/>
      <c r="G18" s="135"/>
      <c r="H18" s="134"/>
      <c r="I18" s="136"/>
      <c r="J18" s="132" t="s">
        <v>68</v>
      </c>
      <c r="K18" s="132"/>
    </row>
  </sheetData>
  <mergeCells count="19">
    <mergeCell ref="B3:D3"/>
    <mergeCell ref="B4:D4"/>
    <mergeCell ref="B5:D5"/>
    <mergeCell ref="A11:K11"/>
    <mergeCell ref="A12:K12"/>
    <mergeCell ref="D13:G13"/>
    <mergeCell ref="D14:G14"/>
    <mergeCell ref="D15:G15"/>
    <mergeCell ref="D16:G16"/>
    <mergeCell ref="D17:G17"/>
    <mergeCell ref="D18:G18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8"/>
  <sheetViews>
    <sheetView zoomScale="115" zoomScaleNormal="115" workbookViewId="0">
      <selection activeCell="G13" sqref="G13"/>
    </sheetView>
  </sheetViews>
  <sheetFormatPr defaultColWidth="9" defaultRowHeight="13.2"/>
  <cols>
    <col min="1" max="1" width="18.25" customWidth="1"/>
    <col min="2" max="2" width="26.6296296296296" customWidth="1"/>
    <col min="3" max="3" width="35.5" customWidth="1"/>
    <col min="6" max="6" width="17.6296296296296" customWidth="1"/>
    <col min="7" max="7" width="0.87962962962963" customWidth="1"/>
  </cols>
  <sheetData>
    <row r="1" spans="1:11">
      <c r="A1" s="79" t="s">
        <v>0</v>
      </c>
      <c r="B1" s="82" t="s">
        <v>220</v>
      </c>
      <c r="C1" s="81"/>
      <c r="D1" s="81"/>
      <c r="E1" s="81"/>
      <c r="F1" s="81"/>
      <c r="G1" s="81"/>
      <c r="H1" s="81"/>
      <c r="I1" s="81"/>
      <c r="J1" s="82"/>
      <c r="K1" s="81"/>
    </row>
    <row r="2" ht="13.95" spans="1:11">
      <c r="A2" s="83"/>
      <c r="B2" s="154"/>
      <c r="C2" s="154"/>
      <c r="D2" s="154"/>
      <c r="E2" s="81"/>
      <c r="F2" s="81"/>
      <c r="G2" s="81"/>
      <c r="H2" s="81"/>
      <c r="I2" s="81"/>
      <c r="J2" s="82"/>
      <c r="K2" s="81"/>
    </row>
    <row r="3" spans="1:11">
      <c r="A3" s="155" t="s">
        <v>61</v>
      </c>
      <c r="B3" s="86" t="s">
        <v>62</v>
      </c>
      <c r="C3" s="86"/>
      <c r="D3" s="87"/>
      <c r="E3" s="88"/>
      <c r="F3" s="88"/>
      <c r="G3" s="88"/>
      <c r="H3" s="88"/>
      <c r="I3" s="89"/>
      <c r="J3" s="89"/>
      <c r="K3" s="89"/>
    </row>
    <row r="4" spans="1:11">
      <c r="A4" s="91" t="s">
        <v>63</v>
      </c>
      <c r="B4" s="92" t="s">
        <v>221</v>
      </c>
      <c r="C4" s="93"/>
      <c r="D4" s="94"/>
      <c r="E4" s="88"/>
      <c r="F4" s="88"/>
      <c r="G4" s="88"/>
      <c r="H4" s="88"/>
      <c r="I4" s="89"/>
      <c r="J4" s="89"/>
      <c r="K4" s="89"/>
    </row>
    <row r="5" spans="1:11">
      <c r="A5" s="156" t="s">
        <v>65</v>
      </c>
      <c r="B5" s="95" t="s">
        <v>66</v>
      </c>
      <c r="C5" s="96"/>
      <c r="D5" s="97"/>
      <c r="E5" s="98"/>
      <c r="F5" s="98"/>
      <c r="G5" s="98"/>
      <c r="H5" s="98"/>
      <c r="I5" s="99"/>
      <c r="J5" s="99"/>
      <c r="K5" s="99"/>
    </row>
    <row r="6" spans="1:11">
      <c r="A6" s="101" t="s">
        <v>67</v>
      </c>
      <c r="B6" s="102">
        <f>COUNTIF(J12:J23,"Pass")</f>
        <v>0</v>
      </c>
      <c r="C6" s="103" t="s">
        <v>68</v>
      </c>
      <c r="D6" s="104">
        <f>COUNTIF(J10:J741,"Pending")</f>
        <v>12</v>
      </c>
      <c r="E6" s="89"/>
      <c r="F6" s="89"/>
      <c r="G6" s="89"/>
      <c r="H6" s="89"/>
      <c r="I6" s="89"/>
      <c r="J6" s="89"/>
      <c r="K6" s="89"/>
    </row>
    <row r="7" ht="13.95" spans="1:11">
      <c r="A7" s="105" t="s">
        <v>69</v>
      </c>
      <c r="B7" s="106">
        <f>COUNTIF(J12:J23,"Fail")</f>
        <v>0</v>
      </c>
      <c r="C7" s="107" t="s">
        <v>70</v>
      </c>
      <c r="D7" s="108">
        <f>COUNTA(A12:A27)-4</f>
        <v>12</v>
      </c>
      <c r="E7" s="109"/>
      <c r="F7" s="109"/>
      <c r="G7" s="109"/>
      <c r="H7" s="109"/>
      <c r="I7" s="89"/>
      <c r="J7" s="89"/>
      <c r="K7" s="89"/>
    </row>
    <row r="8" spans="1:11">
      <c r="A8" s="110"/>
      <c r="B8" s="110"/>
      <c r="C8" s="110"/>
      <c r="D8" s="110"/>
      <c r="E8" s="89"/>
      <c r="F8" s="89"/>
      <c r="G8" s="89"/>
      <c r="H8" s="89"/>
      <c r="I8" s="89"/>
      <c r="J8" s="111"/>
      <c r="K8" s="111"/>
    </row>
    <row r="9" ht="13.5" customHeight="1" spans="1:11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</row>
    <row r="10" spans="1:11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</row>
    <row r="11" ht="15" spans="1: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ht="16.5" customHeight="1" spans="1:11">
      <c r="A12" s="127" t="s">
        <v>222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ht="54" customHeight="1" spans="1:11">
      <c r="A13" s="130" t="s">
        <v>80</v>
      </c>
      <c r="B13" s="131" t="s">
        <v>223</v>
      </c>
      <c r="C13" s="132" t="s">
        <v>224</v>
      </c>
      <c r="D13" s="182" t="s">
        <v>225</v>
      </c>
      <c r="E13" s="183"/>
      <c r="F13" s="183"/>
      <c r="G13" s="184"/>
      <c r="H13" s="134"/>
      <c r="I13" s="136"/>
      <c r="J13" s="132" t="s">
        <v>68</v>
      </c>
      <c r="K13" s="132"/>
    </row>
    <row r="14" ht="54.75" customHeight="1" spans="1:11">
      <c r="A14" s="130" t="s">
        <v>85</v>
      </c>
      <c r="B14" s="131" t="s">
        <v>226</v>
      </c>
      <c r="C14" s="132" t="s">
        <v>227</v>
      </c>
      <c r="D14" s="133" t="s">
        <v>228</v>
      </c>
      <c r="E14" s="134"/>
      <c r="F14" s="134"/>
      <c r="G14" s="184"/>
      <c r="H14" s="134"/>
      <c r="I14" s="136"/>
      <c r="J14" s="132" t="s">
        <v>68</v>
      </c>
      <c r="K14" s="132"/>
    </row>
    <row r="15" ht="87.95" customHeight="1" spans="1:11">
      <c r="A15" s="130" t="s">
        <v>90</v>
      </c>
      <c r="B15" s="131" t="s">
        <v>229</v>
      </c>
      <c r="C15" s="133" t="s">
        <v>230</v>
      </c>
      <c r="D15" s="133" t="s">
        <v>231</v>
      </c>
      <c r="E15" s="134"/>
      <c r="F15" s="134"/>
      <c r="G15" s="135"/>
      <c r="H15" s="135"/>
      <c r="I15" s="185"/>
      <c r="J15" s="132" t="s">
        <v>68</v>
      </c>
      <c r="K15" s="132"/>
    </row>
    <row r="16" ht="18" customHeight="1" spans="1:11">
      <c r="A16" s="127" t="s">
        <v>232</v>
      </c>
      <c r="B16" s="128"/>
      <c r="C16" s="128"/>
      <c r="D16" s="186"/>
      <c r="E16" s="186"/>
      <c r="F16" s="186"/>
      <c r="G16" s="186"/>
      <c r="H16" s="128"/>
      <c r="I16" s="128"/>
      <c r="J16" s="128"/>
      <c r="K16" s="129"/>
    </row>
    <row r="17" ht="78" customHeight="1" spans="1:11">
      <c r="A17" s="130" t="s">
        <v>95</v>
      </c>
      <c r="B17" s="187" t="s">
        <v>233</v>
      </c>
      <c r="C17" s="140" t="s">
        <v>234</v>
      </c>
      <c r="D17" s="182" t="s">
        <v>235</v>
      </c>
      <c r="E17" s="183"/>
      <c r="F17" s="183"/>
      <c r="G17" s="184"/>
      <c r="H17" s="134"/>
      <c r="I17" s="133"/>
      <c r="J17" s="132" t="s">
        <v>68</v>
      </c>
      <c r="K17" s="132"/>
    </row>
    <row r="18" ht="79.5" customHeight="1" spans="1:11">
      <c r="A18" s="130" t="s">
        <v>100</v>
      </c>
      <c r="B18" s="181" t="s">
        <v>236</v>
      </c>
      <c r="C18" s="133" t="s">
        <v>237</v>
      </c>
      <c r="D18" s="133" t="s">
        <v>238</v>
      </c>
      <c r="E18" s="134"/>
      <c r="F18" s="134"/>
      <c r="G18" s="135"/>
      <c r="H18" s="135"/>
      <c r="I18" s="132"/>
      <c r="J18" s="132" t="s">
        <v>68</v>
      </c>
      <c r="K18" s="132"/>
    </row>
    <row r="19" ht="78.75" customHeight="1" spans="1:11">
      <c r="A19" s="130" t="s">
        <v>104</v>
      </c>
      <c r="B19" s="181" t="s">
        <v>239</v>
      </c>
      <c r="C19" s="133" t="s">
        <v>240</v>
      </c>
      <c r="D19" s="133" t="s">
        <v>238</v>
      </c>
      <c r="E19" s="134"/>
      <c r="F19" s="134"/>
      <c r="G19" s="135"/>
      <c r="H19" s="135"/>
      <c r="I19" s="132"/>
      <c r="J19" s="132" t="s">
        <v>68</v>
      </c>
      <c r="K19" s="132"/>
    </row>
    <row r="20" ht="19.5" customHeight="1" spans="1:11">
      <c r="A20" s="127" t="s">
        <v>241</v>
      </c>
      <c r="B20" s="128"/>
      <c r="C20" s="128"/>
      <c r="D20" s="186"/>
      <c r="E20" s="186"/>
      <c r="F20" s="186"/>
      <c r="G20" s="186"/>
      <c r="H20" s="128"/>
      <c r="I20" s="128"/>
      <c r="J20" s="128"/>
      <c r="K20" s="129"/>
    </row>
    <row r="21" ht="66" customHeight="1" spans="1:11">
      <c r="A21" s="130" t="s">
        <v>109</v>
      </c>
      <c r="B21" s="140" t="s">
        <v>242</v>
      </c>
      <c r="C21" s="140" t="s">
        <v>243</v>
      </c>
      <c r="D21" s="133" t="s">
        <v>244</v>
      </c>
      <c r="E21" s="134"/>
      <c r="F21" s="134"/>
      <c r="G21" s="135"/>
      <c r="H21" s="134"/>
      <c r="I21" s="133"/>
      <c r="J21" s="132" t="s">
        <v>68</v>
      </c>
      <c r="K21" s="132"/>
    </row>
    <row r="22" ht="66.75" customHeight="1" spans="1:11">
      <c r="A22" s="130" t="s">
        <v>113</v>
      </c>
      <c r="B22" s="132" t="s">
        <v>245</v>
      </c>
      <c r="C22" s="132" t="s">
        <v>246</v>
      </c>
      <c r="D22" s="133" t="s">
        <v>247</v>
      </c>
      <c r="E22" s="134"/>
      <c r="F22" s="134"/>
      <c r="G22" s="135"/>
      <c r="H22" s="132"/>
      <c r="I22" s="132"/>
      <c r="J22" s="132" t="s">
        <v>68</v>
      </c>
      <c r="K22" s="132"/>
    </row>
    <row r="23" ht="65.25" customHeight="1" spans="1:11">
      <c r="A23" s="130" t="s">
        <v>118</v>
      </c>
      <c r="B23" s="132" t="s">
        <v>248</v>
      </c>
      <c r="C23" s="132" t="s">
        <v>249</v>
      </c>
      <c r="D23" s="182" t="s">
        <v>247</v>
      </c>
      <c r="E23" s="183"/>
      <c r="F23" s="183"/>
      <c r="G23" s="184"/>
      <c r="H23" s="140"/>
      <c r="I23" s="140"/>
      <c r="J23" s="140" t="s">
        <v>68</v>
      </c>
      <c r="K23" s="140"/>
    </row>
    <row r="24" ht="18" customHeight="1" spans="1:11">
      <c r="A24" s="127" t="s">
        <v>250</v>
      </c>
      <c r="B24" s="128"/>
      <c r="C24" s="128"/>
      <c r="D24" s="138"/>
      <c r="E24" s="138"/>
      <c r="F24" s="138"/>
      <c r="G24" s="128"/>
      <c r="H24" s="128"/>
      <c r="I24" s="128"/>
      <c r="J24" s="128"/>
      <c r="K24" s="129"/>
    </row>
    <row r="25" ht="79.5" customHeight="1" spans="1:11">
      <c r="A25" s="188" t="s">
        <v>122</v>
      </c>
      <c r="B25" s="132" t="s">
        <v>251</v>
      </c>
      <c r="C25" s="132" t="s">
        <v>252</v>
      </c>
      <c r="D25" s="182" t="s">
        <v>253</v>
      </c>
      <c r="E25" s="183"/>
      <c r="F25" s="183"/>
      <c r="G25" s="184"/>
      <c r="H25" s="140"/>
      <c r="I25" s="140"/>
      <c r="J25" s="140" t="s">
        <v>68</v>
      </c>
      <c r="K25" s="140"/>
    </row>
    <row r="26" ht="81.75" customHeight="1" spans="1:11">
      <c r="A26" s="188" t="s">
        <v>126</v>
      </c>
      <c r="B26" s="132" t="s">
        <v>254</v>
      </c>
      <c r="C26" s="132" t="s">
        <v>255</v>
      </c>
      <c r="D26" s="132" t="s">
        <v>256</v>
      </c>
      <c r="E26" s="132"/>
      <c r="F26" s="133"/>
      <c r="G26" s="135"/>
      <c r="H26" s="135"/>
      <c r="I26" s="132"/>
      <c r="J26" s="132" t="s">
        <v>68</v>
      </c>
      <c r="K26" s="132"/>
    </row>
    <row r="27" ht="42" customHeight="1" spans="1:11">
      <c r="A27" s="188" t="s">
        <v>161</v>
      </c>
      <c r="B27" s="132" t="s">
        <v>257</v>
      </c>
      <c r="C27" s="132" t="s">
        <v>258</v>
      </c>
      <c r="D27" s="132" t="s">
        <v>259</v>
      </c>
      <c r="E27" s="132"/>
      <c r="F27" s="133"/>
      <c r="G27" s="135"/>
      <c r="H27" s="132"/>
      <c r="I27" s="132"/>
      <c r="J27" s="132" t="s">
        <v>68</v>
      </c>
      <c r="K27" s="132"/>
    </row>
    <row r="28" spans="1:11">
      <c r="A28" s="189"/>
    </row>
    <row r="29" spans="1:11">
      <c r="A29" s="189"/>
    </row>
    <row r="31" spans="1:11">
      <c r="A31" s="189"/>
      <c r="C31" s="190"/>
    </row>
    <row r="32" spans="1:11">
      <c r="A32" s="189"/>
    </row>
    <row r="34" spans="1:1">
      <c r="A34" s="189"/>
    </row>
    <row r="35" spans="1:1">
      <c r="A35" s="189"/>
    </row>
    <row r="37" spans="1:1">
      <c r="A37" s="189"/>
    </row>
    <row r="38" spans="1:1">
      <c r="A38" s="189"/>
    </row>
  </sheetData>
  <mergeCells count="3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C16"/>
    <mergeCell ref="D17:F17"/>
    <mergeCell ref="D18:F18"/>
    <mergeCell ref="D19:F19"/>
    <mergeCell ref="A20:C20"/>
    <mergeCell ref="D21:F21"/>
    <mergeCell ref="D22:F22"/>
    <mergeCell ref="D23:F23"/>
    <mergeCell ref="A24:C24"/>
    <mergeCell ref="D24:F24"/>
    <mergeCell ref="D25:F25"/>
    <mergeCell ref="D26:F26"/>
    <mergeCell ref="D27:F2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opLeftCell="A26" workbookViewId="0">
      <selection activeCell="B5" sqref="B5:D5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8.75" style="5"/>
    <col min="11" max="11" width="18" customWidth="1"/>
  </cols>
  <sheetData>
    <row r="1" s="73" customFormat="1" ht="12.75" customHeight="1" spans="1:12">
      <c r="A1" s="79" t="s">
        <v>0</v>
      </c>
      <c r="B1" s="82" t="s">
        <v>220</v>
      </c>
      <c r="C1" s="81"/>
      <c r="D1" s="81"/>
      <c r="E1" s="81"/>
      <c r="F1" s="81"/>
      <c r="G1" s="81"/>
      <c r="H1" s="81"/>
      <c r="I1" s="81"/>
      <c r="J1" s="82"/>
      <c r="K1" s="81"/>
      <c r="L1" s="83"/>
    </row>
    <row r="2" s="73" customFormat="1" ht="11.25" customHeight="1" spans="1:12">
      <c r="A2" s="83"/>
      <c r="B2" s="154"/>
      <c r="C2" s="154"/>
      <c r="D2" s="154"/>
      <c r="E2" s="81"/>
      <c r="F2" s="81"/>
      <c r="G2" s="81"/>
      <c r="H2" s="81"/>
      <c r="I2" s="81"/>
      <c r="J2" s="82"/>
      <c r="K2" s="81"/>
      <c r="L2" s="83"/>
    </row>
    <row r="3" s="74" customFormat="1" ht="15" customHeight="1" spans="1:12">
      <c r="A3" s="155" t="s">
        <v>61</v>
      </c>
      <c r="B3" s="86" t="s">
        <v>62</v>
      </c>
      <c r="C3" s="86"/>
      <c r="D3" s="87"/>
      <c r="E3" s="88"/>
      <c r="F3" s="88"/>
      <c r="G3" s="88"/>
      <c r="H3" s="88"/>
      <c r="I3" s="89"/>
      <c r="J3" s="89"/>
      <c r="K3" s="89"/>
      <c r="L3" s="90"/>
    </row>
    <row r="4" s="74" customFormat="1" ht="13.15" customHeight="1" spans="1:12">
      <c r="A4" s="91" t="s">
        <v>63</v>
      </c>
      <c r="B4" s="92" t="s">
        <v>260</v>
      </c>
      <c r="C4" s="93"/>
      <c r="D4" s="94"/>
      <c r="E4" s="88"/>
      <c r="F4" s="88"/>
      <c r="G4" s="88"/>
      <c r="H4" s="88"/>
      <c r="I4" s="89"/>
      <c r="J4" s="89"/>
      <c r="K4" s="89"/>
      <c r="L4" s="90"/>
    </row>
    <row r="5" s="75" customFormat="1" ht="26.4" spans="1:12">
      <c r="A5" s="156" t="s">
        <v>65</v>
      </c>
      <c r="B5" s="95" t="s">
        <v>66</v>
      </c>
      <c r="C5" s="96"/>
      <c r="D5" s="97"/>
      <c r="E5" s="98"/>
      <c r="F5" s="98"/>
      <c r="G5" s="98"/>
      <c r="H5" s="98"/>
      <c r="I5" s="99"/>
      <c r="J5" s="99"/>
      <c r="K5" s="99"/>
      <c r="L5" s="100"/>
    </row>
    <row r="6" s="74" customFormat="1" ht="15" customHeight="1" spans="1:12">
      <c r="A6" s="101" t="s">
        <v>67</v>
      </c>
      <c r="B6" s="102">
        <f>COUNTIF(J12:J23,"Pass")</f>
        <v>0</v>
      </c>
      <c r="C6" s="103" t="s">
        <v>68</v>
      </c>
      <c r="D6" s="104">
        <f>COUNTIF(J10:J741,"Pending")</f>
        <v>0</v>
      </c>
      <c r="E6" s="89"/>
      <c r="F6" s="89"/>
      <c r="G6" s="89"/>
      <c r="H6" s="89"/>
      <c r="I6" s="89"/>
      <c r="J6" s="89"/>
      <c r="K6" s="89"/>
      <c r="L6" s="90"/>
    </row>
    <row r="7" s="74" customFormat="1" ht="15" customHeight="1" spans="1:12">
      <c r="A7" s="105" t="s">
        <v>69</v>
      </c>
      <c r="B7" s="106">
        <f>COUNTIF(J12:J23,"Fail")</f>
        <v>0</v>
      </c>
      <c r="C7" s="107" t="s">
        <v>70</v>
      </c>
      <c r="D7" s="108">
        <f>COUNTA(A12:A27)-4</f>
        <v>12</v>
      </c>
      <c r="E7" s="109"/>
      <c r="F7" s="109"/>
      <c r="G7" s="109"/>
      <c r="H7" s="109"/>
      <c r="I7" s="89"/>
      <c r="J7" s="89"/>
      <c r="K7" s="89"/>
      <c r="L7" s="90"/>
    </row>
    <row r="8" s="74" customFormat="1" ht="15" customHeight="1" spans="1:12">
      <c r="A8" s="110"/>
      <c r="B8" s="110"/>
      <c r="C8" s="110"/>
      <c r="D8" s="110"/>
      <c r="E8" s="89"/>
      <c r="F8" s="89"/>
      <c r="G8" s="89"/>
      <c r="H8" s="89"/>
      <c r="I8" s="89"/>
      <c r="J8" s="111"/>
      <c r="K8" s="111"/>
      <c r="L8" s="90"/>
    </row>
    <row r="9" s="76" customFormat="1" ht="12" customHeight="1" spans="1:12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  <c r="L9" s="119"/>
    </row>
    <row r="10" s="74" customFormat="1" ht="12" customHeight="1" spans="1:12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  <c r="L10" s="90"/>
    </row>
    <row r="11" s="77" customFormat="1" ht="15" spans="1:12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="78" customFormat="1" ht="24.6" customHeight="1" spans="1:12">
      <c r="A12" s="175" t="s">
        <v>261</v>
      </c>
      <c r="B12" s="176"/>
      <c r="C12" s="176"/>
      <c r="D12" s="176"/>
      <c r="E12" s="176"/>
      <c r="F12" s="176"/>
      <c r="G12" s="176"/>
      <c r="H12" s="176"/>
      <c r="I12" s="176"/>
      <c r="J12" s="176"/>
      <c r="K12" s="177"/>
    </row>
    <row r="13" s="78" customFormat="1" ht="81.6" customHeight="1" outlineLevel="1" spans="1:12">
      <c r="A13" s="158" t="s">
        <v>80</v>
      </c>
      <c r="B13" s="159" t="s">
        <v>262</v>
      </c>
      <c r="C13" s="159" t="s">
        <v>263</v>
      </c>
      <c r="D13" s="133" t="s">
        <v>264</v>
      </c>
      <c r="E13" s="134"/>
      <c r="F13" s="134"/>
      <c r="G13" s="135"/>
      <c r="H13" s="134"/>
      <c r="I13" s="136"/>
      <c r="J13" s="132"/>
      <c r="K13" s="132"/>
    </row>
    <row r="14" s="78" customFormat="1" ht="91.15" customHeight="1" outlineLevel="1" spans="1:12">
      <c r="A14" s="160" t="s">
        <v>85</v>
      </c>
      <c r="B14" s="161" t="s">
        <v>265</v>
      </c>
      <c r="C14" s="161" t="s">
        <v>266</v>
      </c>
      <c r="D14" s="133" t="s">
        <v>267</v>
      </c>
      <c r="E14" s="134"/>
      <c r="F14" s="134"/>
      <c r="G14" s="135"/>
      <c r="H14" s="134"/>
      <c r="I14" s="133"/>
      <c r="J14" s="132"/>
      <c r="K14" s="132"/>
    </row>
    <row r="15" s="78" customFormat="1" ht="70.15" customHeight="1" outlineLevel="1" spans="1:12">
      <c r="A15" s="158" t="s">
        <v>90</v>
      </c>
      <c r="B15" s="159" t="s">
        <v>268</v>
      </c>
      <c r="C15" s="159" t="s">
        <v>269</v>
      </c>
      <c r="D15" s="133" t="s">
        <v>270</v>
      </c>
      <c r="E15" s="134"/>
      <c r="F15" s="134"/>
      <c r="G15" s="135"/>
      <c r="H15" s="134"/>
      <c r="I15" s="133"/>
      <c r="J15" s="132"/>
      <c r="K15" s="132"/>
    </row>
    <row r="16" ht="70.15" customHeight="1" spans="1:12">
      <c r="A16" s="160" t="s">
        <v>95</v>
      </c>
      <c r="B16" s="161" t="s">
        <v>271</v>
      </c>
      <c r="C16" s="161" t="s">
        <v>272</v>
      </c>
      <c r="D16" s="133" t="s">
        <v>273</v>
      </c>
      <c r="E16" s="134"/>
      <c r="F16" s="134"/>
      <c r="G16" s="135"/>
      <c r="H16" s="134"/>
      <c r="I16" s="133"/>
      <c r="J16" s="132"/>
      <c r="K16" s="132"/>
    </row>
    <row r="17" ht="70.15" customHeight="1" spans="1:11">
      <c r="A17" s="158" t="s">
        <v>100</v>
      </c>
      <c r="B17" s="159" t="s">
        <v>274</v>
      </c>
      <c r="C17" s="159" t="s">
        <v>275</v>
      </c>
      <c r="D17" s="133" t="s">
        <v>276</v>
      </c>
      <c r="E17" s="134"/>
      <c r="F17" s="134"/>
      <c r="G17" s="135"/>
      <c r="H17" s="134"/>
      <c r="I17" s="133"/>
      <c r="J17" s="132"/>
      <c r="K17" s="132"/>
    </row>
    <row r="18" ht="70.15" customHeight="1" spans="1:11">
      <c r="A18" s="160" t="s">
        <v>104</v>
      </c>
      <c r="B18" s="161" t="s">
        <v>277</v>
      </c>
      <c r="C18" s="161" t="s">
        <v>278</v>
      </c>
      <c r="D18" s="133" t="s">
        <v>279</v>
      </c>
      <c r="E18" s="134"/>
      <c r="F18" s="134"/>
      <c r="G18" s="135"/>
      <c r="H18" s="134"/>
      <c r="I18" s="136"/>
      <c r="J18" s="132"/>
      <c r="K18" s="132"/>
    </row>
    <row r="19" ht="70.15" customHeight="1" spans="1:11">
      <c r="A19" s="158" t="s">
        <v>109</v>
      </c>
      <c r="B19" s="159" t="s">
        <v>280</v>
      </c>
      <c r="C19" s="159" t="s">
        <v>281</v>
      </c>
      <c r="D19" s="133" t="s">
        <v>282</v>
      </c>
      <c r="E19" s="134"/>
      <c r="F19" s="134"/>
      <c r="G19" s="135"/>
      <c r="H19" s="134"/>
      <c r="I19" s="133"/>
      <c r="J19" s="132"/>
      <c r="K19" s="132"/>
    </row>
    <row r="20" ht="70.15" customHeight="1" spans="1:11">
      <c r="A20" s="160" t="s">
        <v>113</v>
      </c>
      <c r="B20" s="161" t="s">
        <v>283</v>
      </c>
      <c r="C20" s="161" t="s">
        <v>284</v>
      </c>
      <c r="D20" s="133" t="s">
        <v>285</v>
      </c>
      <c r="E20" s="134"/>
      <c r="F20" s="134"/>
      <c r="G20" s="135"/>
      <c r="H20" s="134"/>
      <c r="I20" s="133"/>
      <c r="J20" s="132"/>
      <c r="K20" s="132"/>
    </row>
    <row r="21" ht="70.15" customHeight="1" spans="1:11">
      <c r="A21" s="158" t="s">
        <v>118</v>
      </c>
      <c r="B21" s="159" t="s">
        <v>286</v>
      </c>
      <c r="C21" s="159" t="s">
        <v>287</v>
      </c>
      <c r="D21" s="133" t="s">
        <v>288</v>
      </c>
      <c r="E21" s="134"/>
      <c r="F21" s="134"/>
      <c r="G21" s="135"/>
      <c r="H21" s="134"/>
      <c r="I21" s="133"/>
      <c r="J21" s="132"/>
      <c r="K21" s="132"/>
    </row>
    <row r="22" ht="70.15" customHeight="1" spans="1:11">
      <c r="A22" s="160" t="s">
        <v>122</v>
      </c>
      <c r="B22" s="161" t="s">
        <v>289</v>
      </c>
      <c r="C22" s="161" t="s">
        <v>290</v>
      </c>
      <c r="D22" s="133" t="s">
        <v>291</v>
      </c>
      <c r="E22" s="134"/>
      <c r="F22" s="134"/>
      <c r="G22" s="135"/>
      <c r="H22" s="134"/>
      <c r="I22" s="133"/>
      <c r="J22" s="132"/>
      <c r="K22" s="132"/>
    </row>
    <row r="23" ht="70.15" customHeight="1" spans="1:11">
      <c r="A23" s="158" t="s">
        <v>126</v>
      </c>
      <c r="B23" s="159" t="s">
        <v>292</v>
      </c>
      <c r="C23" s="159" t="s">
        <v>293</v>
      </c>
      <c r="D23" s="133" t="s">
        <v>294</v>
      </c>
      <c r="E23" s="134"/>
      <c r="F23" s="134"/>
      <c r="G23" s="135"/>
      <c r="H23" s="134"/>
      <c r="I23" s="136"/>
      <c r="J23" s="132"/>
      <c r="K23" s="132"/>
    </row>
    <row r="24" ht="70.15" customHeight="1" spans="1:11">
      <c r="A24" s="160" t="s">
        <v>161</v>
      </c>
      <c r="B24" s="161" t="s">
        <v>295</v>
      </c>
      <c r="C24" s="161" t="s">
        <v>296</v>
      </c>
      <c r="D24" s="133" t="s">
        <v>297</v>
      </c>
      <c r="E24" s="134"/>
      <c r="F24" s="134"/>
      <c r="G24" s="135"/>
      <c r="H24" s="134"/>
      <c r="I24" s="133"/>
      <c r="J24" s="132"/>
      <c r="K24" s="132"/>
    </row>
    <row r="25" ht="70.15" customHeight="1" spans="1:11">
      <c r="A25" s="158" t="s">
        <v>298</v>
      </c>
      <c r="B25" s="159" t="s">
        <v>299</v>
      </c>
      <c r="C25" s="159" t="s">
        <v>300</v>
      </c>
      <c r="D25" s="133" t="s">
        <v>301</v>
      </c>
      <c r="E25" s="134"/>
      <c r="F25" s="134"/>
      <c r="G25" s="135"/>
      <c r="H25" s="134"/>
      <c r="I25" s="133"/>
      <c r="J25" s="132"/>
      <c r="K25" s="132"/>
    </row>
    <row r="26" ht="70.15" customHeight="1" spans="1:11">
      <c r="A26" s="160" t="s">
        <v>302</v>
      </c>
      <c r="B26" s="161" t="s">
        <v>303</v>
      </c>
      <c r="C26" s="161" t="s">
        <v>304</v>
      </c>
      <c r="D26" s="133" t="s">
        <v>305</v>
      </c>
      <c r="E26" s="134"/>
      <c r="F26" s="134"/>
      <c r="G26" s="135"/>
      <c r="H26" s="134"/>
      <c r="I26" s="133"/>
      <c r="J26" s="132"/>
      <c r="K26" s="132"/>
    </row>
    <row r="27" ht="25.15" customHeight="1" spans="1:11">
      <c r="A27" s="172" t="s">
        <v>306</v>
      </c>
      <c r="B27" s="128"/>
      <c r="C27" s="128"/>
      <c r="D27" s="128"/>
      <c r="E27" s="128"/>
      <c r="F27" s="128"/>
      <c r="G27" s="128"/>
      <c r="H27" s="128"/>
      <c r="I27" s="128"/>
      <c r="J27" s="128"/>
      <c r="K27" s="129"/>
    </row>
    <row r="28" ht="70.15" customHeight="1" spans="1:11">
      <c r="A28" s="158" t="s">
        <v>307</v>
      </c>
      <c r="B28" s="159" t="s">
        <v>308</v>
      </c>
      <c r="C28" s="159" t="s">
        <v>309</v>
      </c>
      <c r="D28" s="133" t="s">
        <v>310</v>
      </c>
      <c r="E28" s="134"/>
      <c r="F28" s="134"/>
      <c r="G28" s="135"/>
      <c r="H28" s="134"/>
      <c r="I28" s="136"/>
      <c r="J28" s="132"/>
      <c r="K28" s="132"/>
    </row>
    <row r="29" ht="70.15" customHeight="1" spans="1:11">
      <c r="A29" s="160" t="s">
        <v>311</v>
      </c>
      <c r="B29" s="161" t="s">
        <v>312</v>
      </c>
      <c r="C29" s="161" t="s">
        <v>313</v>
      </c>
      <c r="D29" s="133" t="s">
        <v>314</v>
      </c>
      <c r="E29" s="134"/>
      <c r="F29" s="134"/>
      <c r="G29" s="135"/>
      <c r="H29" s="134"/>
      <c r="I29" s="133"/>
      <c r="J29" s="132"/>
      <c r="K29" s="132"/>
    </row>
    <row r="30" ht="70.15" customHeight="1" spans="1:11">
      <c r="A30" s="158" t="s">
        <v>315</v>
      </c>
      <c r="B30" s="159" t="s">
        <v>316</v>
      </c>
      <c r="C30" s="159" t="s">
        <v>317</v>
      </c>
      <c r="D30" s="133" t="s">
        <v>318</v>
      </c>
      <c r="E30" s="134"/>
      <c r="F30" s="134"/>
      <c r="G30" s="135"/>
      <c r="H30" s="134"/>
      <c r="I30" s="133"/>
      <c r="J30" s="132"/>
      <c r="K30" s="132"/>
    </row>
    <row r="31" ht="70.15" customHeight="1" spans="1:11">
      <c r="A31" s="160" t="s">
        <v>319</v>
      </c>
      <c r="B31" s="161" t="s">
        <v>320</v>
      </c>
      <c r="C31" s="161" t="s">
        <v>321</v>
      </c>
      <c r="D31" s="133" t="s">
        <v>322</v>
      </c>
      <c r="E31" s="134"/>
      <c r="F31" s="134"/>
      <c r="G31" s="135"/>
      <c r="H31" s="134"/>
      <c r="I31" s="133"/>
      <c r="J31" s="132"/>
      <c r="K31" s="132"/>
    </row>
    <row r="32" ht="70.15" customHeight="1" spans="1:11">
      <c r="A32" s="158" t="s">
        <v>323</v>
      </c>
      <c r="B32" s="159" t="s">
        <v>324</v>
      </c>
      <c r="C32" s="159" t="s">
        <v>325</v>
      </c>
      <c r="D32" s="133" t="s">
        <v>326</v>
      </c>
      <c r="E32" s="134"/>
      <c r="F32" s="134"/>
      <c r="G32" s="135"/>
      <c r="H32" s="134"/>
      <c r="I32" s="133"/>
      <c r="J32" s="132"/>
      <c r="K32" s="132"/>
    </row>
    <row r="33" ht="70.15" customHeight="1" spans="1:11">
      <c r="A33" s="160" t="s">
        <v>327</v>
      </c>
      <c r="B33" s="161" t="s">
        <v>328</v>
      </c>
      <c r="C33" s="161" t="s">
        <v>329</v>
      </c>
      <c r="D33" s="133" t="s">
        <v>322</v>
      </c>
      <c r="E33" s="134"/>
      <c r="F33" s="134"/>
      <c r="G33" s="135"/>
      <c r="H33" s="134"/>
      <c r="I33" s="133"/>
      <c r="J33" s="132"/>
      <c r="K33" s="132"/>
    </row>
    <row r="34" ht="70.15" customHeight="1" spans="1:11">
      <c r="A34" s="158" t="s">
        <v>330</v>
      </c>
      <c r="B34" s="159" t="s">
        <v>331</v>
      </c>
      <c r="C34" s="159" t="s">
        <v>332</v>
      </c>
      <c r="D34" s="133" t="s">
        <v>333</v>
      </c>
      <c r="E34" s="134"/>
      <c r="F34" s="134"/>
      <c r="G34" s="135"/>
      <c r="H34" s="134"/>
      <c r="I34" s="133"/>
      <c r="J34" s="132"/>
      <c r="K34" s="132"/>
    </row>
    <row r="35" ht="70.15" customHeight="1" spans="1:11">
      <c r="A35" s="160" t="s">
        <v>334</v>
      </c>
      <c r="B35" s="161" t="s">
        <v>335</v>
      </c>
      <c r="C35" s="161" t="s">
        <v>336</v>
      </c>
      <c r="D35" s="133" t="s">
        <v>337</v>
      </c>
      <c r="E35" s="134"/>
      <c r="F35" s="134"/>
      <c r="G35" s="135"/>
      <c r="H35" s="134"/>
      <c r="I35" s="133"/>
      <c r="J35" s="132"/>
      <c r="K35" s="132"/>
    </row>
    <row r="36" ht="28.15" customHeight="1" spans="1:11">
      <c r="A36" s="172" t="s">
        <v>338</v>
      </c>
      <c r="B36" s="128"/>
      <c r="C36" s="128"/>
      <c r="D36" s="128"/>
      <c r="E36" s="128"/>
      <c r="F36" s="128"/>
      <c r="G36" s="128"/>
      <c r="H36" s="128"/>
      <c r="I36" s="128"/>
      <c r="J36" s="128"/>
      <c r="K36" s="129"/>
    </row>
    <row r="37" ht="70.15" customHeight="1" spans="1:11">
      <c r="A37" s="158" t="s">
        <v>339</v>
      </c>
      <c r="B37" s="159" t="s">
        <v>340</v>
      </c>
      <c r="C37" s="159" t="s">
        <v>341</v>
      </c>
      <c r="D37" s="133" t="s">
        <v>342</v>
      </c>
      <c r="E37" s="134"/>
      <c r="F37" s="134"/>
      <c r="G37" s="135"/>
      <c r="H37" s="134"/>
      <c r="I37" s="133"/>
      <c r="J37" s="132"/>
      <c r="K37" s="132"/>
    </row>
    <row r="38" ht="70.15" customHeight="1" spans="1:11">
      <c r="A38" s="160" t="s">
        <v>343</v>
      </c>
      <c r="B38" s="161" t="s">
        <v>344</v>
      </c>
      <c r="C38" s="161" t="s">
        <v>345</v>
      </c>
      <c r="D38" s="133" t="s">
        <v>346</v>
      </c>
      <c r="E38" s="134"/>
      <c r="F38" s="134"/>
      <c r="G38" s="135"/>
      <c r="H38" s="134"/>
      <c r="I38" s="133"/>
      <c r="J38" s="132"/>
      <c r="K38" s="132"/>
    </row>
    <row r="39" ht="28.9" customHeight="1" spans="1:11">
      <c r="A39" s="172" t="s">
        <v>347</v>
      </c>
      <c r="B39" s="128"/>
      <c r="C39" s="128"/>
      <c r="D39" s="128"/>
      <c r="E39" s="128"/>
      <c r="F39" s="128"/>
      <c r="G39" s="128"/>
      <c r="H39" s="128"/>
      <c r="I39" s="128"/>
      <c r="J39" s="128"/>
      <c r="K39" s="129"/>
    </row>
    <row r="40" ht="70.15" customHeight="1" spans="1:11">
      <c r="A40" s="158" t="s">
        <v>348</v>
      </c>
      <c r="B40" s="159" t="s">
        <v>349</v>
      </c>
      <c r="C40" s="159" t="s">
        <v>350</v>
      </c>
      <c r="D40" s="133" t="s">
        <v>351</v>
      </c>
      <c r="E40" s="134"/>
      <c r="F40" s="134"/>
      <c r="G40" s="135"/>
      <c r="H40" s="134"/>
      <c r="I40" s="133"/>
      <c r="J40" s="132"/>
      <c r="K40" s="132"/>
    </row>
    <row r="41" ht="70.15" customHeight="1" spans="1:11">
      <c r="A41" s="160" t="s">
        <v>352</v>
      </c>
      <c r="B41" s="161" t="s">
        <v>353</v>
      </c>
      <c r="C41" s="161" t="s">
        <v>354</v>
      </c>
      <c r="D41" s="133" t="s">
        <v>355</v>
      </c>
      <c r="E41" s="134"/>
      <c r="F41" s="134"/>
      <c r="G41" s="135"/>
      <c r="H41" s="134"/>
      <c r="I41" s="133"/>
      <c r="J41" s="132"/>
      <c r="K41" s="132"/>
    </row>
    <row r="42" ht="12" customHeight="1" spans="1:11">
      <c r="A42" s="130"/>
      <c r="B42" s="142"/>
      <c r="C42" s="132"/>
      <c r="D42" s="141"/>
      <c r="E42" s="143"/>
      <c r="F42" s="143"/>
      <c r="G42" s="135"/>
      <c r="H42" s="134"/>
      <c r="I42" s="133"/>
      <c r="J42" s="132"/>
      <c r="K42" s="132"/>
    </row>
    <row r="43" ht="12" customHeight="1" spans="1:11">
      <c r="A43" s="130"/>
      <c r="B43" s="139"/>
      <c r="C43" s="140"/>
      <c r="D43" s="141"/>
      <c r="E43" s="134"/>
      <c r="F43" s="134"/>
      <c r="G43" s="135"/>
      <c r="H43" s="134"/>
      <c r="I43" s="133"/>
      <c r="J43" s="132"/>
      <c r="K43" s="132"/>
    </row>
    <row r="44" ht="12" customHeight="1" spans="1:11">
      <c r="A44" s="130"/>
      <c r="B44" s="142"/>
      <c r="C44" s="132"/>
      <c r="D44" s="141"/>
      <c r="E44" s="143"/>
      <c r="F44" s="143"/>
      <c r="G44" s="135"/>
      <c r="H44" s="134"/>
      <c r="I44" s="133"/>
      <c r="J44" s="132"/>
      <c r="K44" s="132"/>
    </row>
    <row r="45" ht="12" customHeight="1" spans="1:11">
      <c r="A45" s="130"/>
      <c r="B45" s="139"/>
      <c r="C45" s="140"/>
      <c r="D45" s="141"/>
      <c r="E45" s="134"/>
      <c r="F45" s="134"/>
      <c r="G45" s="135"/>
      <c r="H45" s="134"/>
      <c r="I45" s="133"/>
      <c r="J45" s="132"/>
      <c r="K45" s="132"/>
    </row>
    <row r="46" ht="12" customHeight="1" spans="1:11">
      <c r="A46" s="130"/>
      <c r="B46" s="142"/>
      <c r="C46" s="132"/>
      <c r="D46" s="141"/>
      <c r="E46" s="143"/>
      <c r="F46" s="143"/>
      <c r="G46" s="135"/>
      <c r="H46" s="134"/>
      <c r="I46" s="133"/>
      <c r="J46" s="132"/>
      <c r="K46" s="132"/>
    </row>
    <row r="47" ht="12" customHeight="1" spans="1:11">
      <c r="A47" s="130"/>
      <c r="B47" s="139"/>
      <c r="C47" s="140"/>
      <c r="D47" s="141"/>
      <c r="E47" s="134"/>
      <c r="F47" s="134"/>
      <c r="G47" s="135"/>
      <c r="H47" s="134"/>
      <c r="I47" s="133"/>
      <c r="J47" s="132"/>
      <c r="K47" s="132"/>
    </row>
    <row r="48" ht="12" customHeight="1" spans="1:11">
      <c r="A48" s="130"/>
      <c r="B48" s="142"/>
      <c r="C48" s="132"/>
      <c r="D48" s="141"/>
      <c r="E48" s="143"/>
      <c r="F48" s="143"/>
      <c r="G48" s="135"/>
      <c r="H48" s="134"/>
      <c r="I48" s="133"/>
      <c r="J48" s="132"/>
      <c r="K48" s="132"/>
    </row>
    <row r="49" ht="12" customHeight="1" spans="1:11">
      <c r="A49" s="130"/>
      <c r="B49" s="139"/>
      <c r="C49" s="140"/>
      <c r="D49" s="141"/>
      <c r="E49" s="134"/>
      <c r="F49" s="134"/>
      <c r="G49" s="135"/>
      <c r="H49" s="134"/>
      <c r="I49" s="133"/>
      <c r="J49" s="132"/>
      <c r="K49" s="132"/>
    </row>
    <row r="50" ht="12" customHeight="1" spans="1:11">
      <c r="A50" s="130"/>
      <c r="B50" s="142"/>
      <c r="C50" s="132"/>
      <c r="D50" s="141"/>
      <c r="E50" s="143"/>
      <c r="F50" s="143"/>
      <c r="G50" s="135"/>
      <c r="H50" s="134"/>
      <c r="I50" s="133"/>
      <c r="J50" s="132"/>
      <c r="K50" s="132"/>
    </row>
    <row r="51" ht="12" customHeight="1"/>
    <row r="52" ht="12" customHeight="1"/>
    <row r="53" ht="12" customHeight="1"/>
  </sheetData>
  <mergeCells count="57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A27:K27"/>
    <mergeCell ref="D28:F28"/>
    <mergeCell ref="D29:F29"/>
    <mergeCell ref="D30:F30"/>
    <mergeCell ref="D31:F31"/>
    <mergeCell ref="D32:F32"/>
    <mergeCell ref="D33:F33"/>
    <mergeCell ref="D34:F34"/>
    <mergeCell ref="D35:F35"/>
    <mergeCell ref="A36:K36"/>
    <mergeCell ref="D37:F37"/>
    <mergeCell ref="D38:F38"/>
    <mergeCell ref="A39:K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"/>
  <sheetViews>
    <sheetView zoomScale="85" zoomScaleNormal="85" workbookViewId="0">
      <selection activeCell="M19" sqref="M19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8.75" style="5"/>
    <col min="11" max="11" width="18" customWidth="1"/>
  </cols>
  <sheetData>
    <row r="1" s="73" customFormat="1" ht="12.75" customHeight="1" spans="1:12">
      <c r="A1" s="79" t="s">
        <v>0</v>
      </c>
      <c r="B1" s="82" t="s">
        <v>220</v>
      </c>
      <c r="C1" s="81"/>
      <c r="D1" s="81"/>
      <c r="E1" s="81"/>
      <c r="F1" s="81"/>
      <c r="G1" s="81"/>
      <c r="H1" s="81"/>
      <c r="I1" s="81"/>
      <c r="J1" s="82"/>
      <c r="K1" s="81"/>
      <c r="L1" s="83"/>
    </row>
    <row r="2" s="73" customFormat="1" ht="11.25" customHeight="1" spans="1:12">
      <c r="A2" s="83"/>
      <c r="B2" s="154"/>
      <c r="C2" s="154"/>
      <c r="D2" s="154"/>
      <c r="E2" s="81"/>
      <c r="F2" s="81"/>
      <c r="G2" s="81"/>
      <c r="H2" s="81"/>
      <c r="I2" s="81"/>
      <c r="J2" s="82"/>
      <c r="K2" s="81"/>
      <c r="L2" s="83"/>
    </row>
    <row r="3" s="74" customFormat="1" ht="15" customHeight="1" spans="1:12">
      <c r="A3" s="155" t="s">
        <v>61</v>
      </c>
      <c r="B3" s="86" t="s">
        <v>62</v>
      </c>
      <c r="C3" s="86"/>
      <c r="D3" s="87"/>
      <c r="E3" s="88"/>
      <c r="F3" s="88"/>
      <c r="G3" s="88"/>
      <c r="H3" s="88"/>
      <c r="I3" s="89"/>
      <c r="J3" s="89"/>
      <c r="K3" s="89"/>
      <c r="L3" s="90"/>
    </row>
    <row r="4" s="74" customFormat="1" ht="13.15" customHeight="1" spans="1:12">
      <c r="A4" s="91" t="s">
        <v>63</v>
      </c>
      <c r="B4" s="92" t="s">
        <v>356</v>
      </c>
      <c r="C4" s="93"/>
      <c r="D4" s="94"/>
      <c r="E4" s="88"/>
      <c r="F4" s="88"/>
      <c r="G4" s="88"/>
      <c r="H4" s="88"/>
      <c r="I4" s="89"/>
      <c r="J4" s="89"/>
      <c r="K4" s="89"/>
      <c r="L4" s="90"/>
    </row>
    <row r="5" s="75" customFormat="1" ht="26.4" spans="1:12">
      <c r="A5" s="156" t="s">
        <v>65</v>
      </c>
      <c r="B5" s="95" t="s">
        <v>66</v>
      </c>
      <c r="C5" s="96"/>
      <c r="D5" s="97"/>
      <c r="E5" s="98"/>
      <c r="F5" s="98"/>
      <c r="G5" s="98"/>
      <c r="H5" s="98"/>
      <c r="I5" s="99"/>
      <c r="J5" s="99"/>
      <c r="K5" s="99"/>
      <c r="L5" s="100"/>
    </row>
    <row r="6" s="74" customFormat="1" ht="15" customHeight="1" spans="1:12">
      <c r="A6" s="101" t="s">
        <v>67</v>
      </c>
      <c r="B6" s="102">
        <f>COUNTIF(J12:J23,"Pass")</f>
        <v>0</v>
      </c>
      <c r="C6" s="103" t="s">
        <v>68</v>
      </c>
      <c r="D6" s="104">
        <f>COUNTIF(J10:J741,"Pending")</f>
        <v>0</v>
      </c>
      <c r="E6" s="89"/>
      <c r="F6" s="89"/>
      <c r="G6" s="89"/>
      <c r="H6" s="89"/>
      <c r="I6" s="89"/>
      <c r="J6" s="89"/>
      <c r="K6" s="89"/>
      <c r="L6" s="90"/>
    </row>
    <row r="7" s="74" customFormat="1" ht="15" customHeight="1" spans="1:12">
      <c r="A7" s="105" t="s">
        <v>69</v>
      </c>
      <c r="B7" s="106">
        <f>COUNTIF(J12:J23,"Fail")</f>
        <v>0</v>
      </c>
      <c r="C7" s="107" t="s">
        <v>70</v>
      </c>
      <c r="D7" s="108">
        <f>COUNTA(A12:A27)-4</f>
        <v>12</v>
      </c>
      <c r="E7" s="109"/>
      <c r="F7" s="109"/>
      <c r="G7" s="109"/>
      <c r="H7" s="109"/>
      <c r="I7" s="89"/>
      <c r="J7" s="89"/>
      <c r="K7" s="89"/>
      <c r="L7" s="90"/>
    </row>
    <row r="8" s="74" customFormat="1" ht="15" customHeight="1" spans="1:12">
      <c r="A8" s="110"/>
      <c r="B8" s="110"/>
      <c r="C8" s="110"/>
      <c r="D8" s="110"/>
      <c r="E8" s="89"/>
      <c r="F8" s="89"/>
      <c r="G8" s="89"/>
      <c r="H8" s="89"/>
      <c r="I8" s="89"/>
      <c r="J8" s="111"/>
      <c r="K8" s="111"/>
      <c r="L8" s="90"/>
    </row>
    <row r="9" s="76" customFormat="1" ht="12" customHeight="1" spans="1:12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  <c r="L9" s="119"/>
    </row>
    <row r="10" s="74" customFormat="1" ht="12" customHeight="1" spans="1:12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  <c r="L10" s="90"/>
    </row>
    <row r="11" s="77" customFormat="1" ht="15" spans="1:12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="78" customFormat="1" ht="22.9" customHeight="1" spans="1:12">
      <c r="A12" s="172" t="s">
        <v>357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4"/>
    </row>
    <row r="13" s="78" customFormat="1" ht="66.6" customHeight="1" outlineLevel="1" spans="1:12">
      <c r="A13" s="158" t="s">
        <v>80</v>
      </c>
      <c r="B13" s="159" t="s">
        <v>358</v>
      </c>
      <c r="C13" s="159" t="s">
        <v>359</v>
      </c>
      <c r="D13" s="133" t="s">
        <v>360</v>
      </c>
      <c r="E13" s="134"/>
      <c r="F13" s="134"/>
      <c r="G13" s="135"/>
      <c r="H13" s="134"/>
      <c r="I13" s="136"/>
      <c r="J13" s="132"/>
      <c r="K13" s="132"/>
    </row>
    <row r="14" s="78" customFormat="1" ht="63.75" customHeight="1" outlineLevel="1" spans="1:12">
      <c r="A14" s="160" t="s">
        <v>85</v>
      </c>
      <c r="B14" s="161" t="s">
        <v>361</v>
      </c>
      <c r="C14" s="161" t="s">
        <v>362</v>
      </c>
      <c r="D14" s="133" t="s">
        <v>363</v>
      </c>
      <c r="E14" s="134"/>
      <c r="F14" s="134"/>
      <c r="G14" s="135"/>
      <c r="H14" s="134"/>
      <c r="I14" s="133"/>
      <c r="J14" s="132"/>
      <c r="K14" s="132"/>
    </row>
    <row r="15" s="78" customFormat="1" ht="70.15" customHeight="1" outlineLevel="1" spans="1:12">
      <c r="A15" s="158" t="s">
        <v>90</v>
      </c>
      <c r="B15" s="159" t="s">
        <v>364</v>
      </c>
      <c r="C15" s="159" t="s">
        <v>365</v>
      </c>
      <c r="D15" s="133" t="s">
        <v>366</v>
      </c>
      <c r="E15" s="134"/>
      <c r="F15" s="134"/>
      <c r="G15" s="135"/>
      <c r="H15" s="134"/>
      <c r="I15" s="133"/>
      <c r="J15" s="132"/>
      <c r="K15" s="132"/>
    </row>
    <row r="16" ht="27" customHeight="1" spans="1:12">
      <c r="A16" s="172" t="s">
        <v>367</v>
      </c>
      <c r="B16" s="128"/>
      <c r="C16" s="128"/>
      <c r="D16" s="128"/>
      <c r="E16" s="128"/>
      <c r="F16" s="128"/>
      <c r="G16" s="128"/>
      <c r="H16" s="128"/>
      <c r="I16" s="128"/>
      <c r="J16" s="128"/>
      <c r="K16" s="129"/>
    </row>
    <row r="17" ht="70.15" customHeight="1" spans="1:11">
      <c r="A17" s="160" t="s">
        <v>95</v>
      </c>
      <c r="B17" s="161" t="s">
        <v>368</v>
      </c>
      <c r="C17" s="161" t="s">
        <v>369</v>
      </c>
      <c r="D17" s="133" t="s">
        <v>370</v>
      </c>
      <c r="E17" s="134"/>
      <c r="F17" s="134"/>
      <c r="G17" s="135"/>
      <c r="H17" s="134"/>
      <c r="I17" s="133"/>
      <c r="J17" s="132"/>
      <c r="K17" s="132"/>
    </row>
    <row r="18" ht="70.15" customHeight="1" spans="1:11">
      <c r="A18" s="158" t="s">
        <v>100</v>
      </c>
      <c r="B18" s="159" t="s">
        <v>371</v>
      </c>
      <c r="C18" s="159" t="s">
        <v>372</v>
      </c>
      <c r="D18" s="133" t="s">
        <v>373</v>
      </c>
      <c r="E18" s="134"/>
      <c r="F18" s="134"/>
      <c r="G18" s="135"/>
      <c r="H18" s="134"/>
      <c r="I18" s="133"/>
      <c r="J18" s="132"/>
      <c r="K18" s="132"/>
    </row>
    <row r="19" ht="70.15" customHeight="1" spans="1:11">
      <c r="A19" s="160" t="s">
        <v>104</v>
      </c>
      <c r="B19" s="161" t="s">
        <v>374</v>
      </c>
      <c r="C19" s="161" t="s">
        <v>375</v>
      </c>
      <c r="D19" s="133" t="s">
        <v>376</v>
      </c>
      <c r="E19" s="134"/>
      <c r="F19" s="134"/>
      <c r="G19" s="135"/>
      <c r="H19" s="134"/>
      <c r="I19" s="133"/>
      <c r="J19" s="132"/>
      <c r="K19" s="132"/>
    </row>
    <row r="20" ht="28.15" customHeight="1" spans="1:11">
      <c r="A20" s="175" t="s">
        <v>377</v>
      </c>
      <c r="B20" s="176"/>
      <c r="C20" s="176"/>
      <c r="D20" s="176"/>
      <c r="E20" s="176"/>
      <c r="F20" s="176"/>
      <c r="G20" s="176"/>
      <c r="H20" s="176"/>
      <c r="I20" s="176"/>
      <c r="J20" s="176"/>
      <c r="K20" s="177"/>
    </row>
    <row r="21" ht="70.15" customHeight="1" spans="1:11">
      <c r="A21" s="158" t="s">
        <v>109</v>
      </c>
      <c r="B21" s="159" t="s">
        <v>378</v>
      </c>
      <c r="C21" s="159" t="s">
        <v>379</v>
      </c>
      <c r="D21" s="133" t="s">
        <v>380</v>
      </c>
      <c r="E21" s="134"/>
      <c r="F21" s="134"/>
      <c r="G21" s="135"/>
      <c r="H21" s="134"/>
      <c r="I21" s="133"/>
      <c r="J21" s="132"/>
      <c r="K21" s="132"/>
    </row>
    <row r="22" ht="70.15" customHeight="1" spans="1:11">
      <c r="A22" s="160" t="s">
        <v>113</v>
      </c>
      <c r="B22" s="161" t="s">
        <v>381</v>
      </c>
      <c r="C22" s="161" t="s">
        <v>382</v>
      </c>
      <c r="D22" s="133" t="s">
        <v>383</v>
      </c>
      <c r="E22" s="134"/>
      <c r="F22" s="134"/>
      <c r="G22" s="135"/>
      <c r="H22" s="134"/>
      <c r="I22" s="133"/>
      <c r="J22" s="132"/>
      <c r="K22" s="132"/>
    </row>
    <row r="23" ht="70.15" customHeight="1" spans="1:11">
      <c r="A23" s="158" t="s">
        <v>118</v>
      </c>
      <c r="B23" s="159" t="s">
        <v>384</v>
      </c>
      <c r="C23" s="159" t="s">
        <v>385</v>
      </c>
      <c r="D23" s="133" t="s">
        <v>386</v>
      </c>
      <c r="E23" s="134"/>
      <c r="F23" s="134"/>
      <c r="G23" s="135"/>
      <c r="H23" s="134"/>
      <c r="I23" s="133"/>
      <c r="J23" s="132"/>
      <c r="K23" s="132"/>
    </row>
    <row r="24" ht="70.15" customHeight="1" spans="1:11">
      <c r="A24" s="160" t="s">
        <v>122</v>
      </c>
      <c r="B24" s="161" t="s">
        <v>387</v>
      </c>
      <c r="C24" s="161" t="s">
        <v>388</v>
      </c>
      <c r="D24" s="133" t="s">
        <v>389</v>
      </c>
      <c r="E24" s="134"/>
      <c r="F24" s="134"/>
      <c r="G24" s="135"/>
      <c r="H24" s="134"/>
      <c r="I24" s="133"/>
      <c r="J24" s="132"/>
      <c r="K24" s="132"/>
    </row>
    <row r="25" ht="31.15" customHeight="1" spans="1:11">
      <c r="A25" s="175" t="s">
        <v>390</v>
      </c>
      <c r="B25" s="176"/>
      <c r="C25" s="176"/>
      <c r="D25" s="176"/>
      <c r="E25" s="176"/>
      <c r="F25" s="176"/>
      <c r="G25" s="176"/>
      <c r="H25" s="176"/>
      <c r="I25" s="176"/>
      <c r="J25" s="176"/>
      <c r="K25" s="177"/>
    </row>
    <row r="26" ht="70.15" customHeight="1" spans="1:11">
      <c r="A26" s="158" t="s">
        <v>126</v>
      </c>
      <c r="B26" s="159" t="s">
        <v>391</v>
      </c>
      <c r="C26" s="159" t="s">
        <v>392</v>
      </c>
      <c r="D26" s="133" t="s">
        <v>393</v>
      </c>
      <c r="E26" s="134"/>
      <c r="F26" s="134"/>
      <c r="G26" s="135"/>
      <c r="H26" s="134"/>
      <c r="I26" s="133"/>
      <c r="J26" s="132"/>
      <c r="K26" s="132"/>
    </row>
    <row r="27" ht="70.15" customHeight="1" spans="1:11">
      <c r="A27" s="160" t="s">
        <v>161</v>
      </c>
      <c r="B27" s="161" t="s">
        <v>394</v>
      </c>
      <c r="C27" s="161" t="s">
        <v>395</v>
      </c>
      <c r="D27" s="133" t="s">
        <v>396</v>
      </c>
      <c r="E27" s="134"/>
      <c r="F27" s="134"/>
      <c r="G27" s="135"/>
      <c r="H27" s="134"/>
      <c r="I27" s="133"/>
      <c r="J27" s="132"/>
      <c r="K27" s="132"/>
    </row>
    <row r="28" ht="70.15" customHeight="1" spans="1:11">
      <c r="A28" s="158" t="s">
        <v>298</v>
      </c>
      <c r="B28" s="159" t="s">
        <v>397</v>
      </c>
      <c r="C28" s="159" t="s">
        <v>398</v>
      </c>
      <c r="D28" s="133" t="s">
        <v>399</v>
      </c>
      <c r="E28" s="134"/>
      <c r="F28" s="134"/>
      <c r="G28" s="135"/>
      <c r="H28" s="134"/>
      <c r="I28" s="133"/>
      <c r="J28" s="132"/>
      <c r="K28" s="132"/>
    </row>
    <row r="29" ht="70.15" customHeight="1" spans="1:11">
      <c r="A29" s="160" t="s">
        <v>302</v>
      </c>
      <c r="B29" s="161" t="s">
        <v>400</v>
      </c>
      <c r="C29" s="161" t="s">
        <v>401</v>
      </c>
      <c r="D29" s="133" t="s">
        <v>402</v>
      </c>
      <c r="E29" s="134"/>
      <c r="F29" s="134"/>
      <c r="G29" s="135"/>
      <c r="H29" s="134"/>
      <c r="I29" s="133"/>
      <c r="J29" s="132"/>
      <c r="K29" s="132"/>
    </row>
    <row r="30" ht="70.15" customHeight="1" spans="1:11">
      <c r="A30" s="158"/>
      <c r="B30" s="159"/>
      <c r="C30" s="159"/>
      <c r="D30" s="133"/>
      <c r="E30" s="134"/>
      <c r="F30" s="134"/>
      <c r="G30" s="135"/>
      <c r="H30" s="134"/>
      <c r="I30" s="133"/>
      <c r="J30" s="132"/>
      <c r="K30" s="132"/>
    </row>
    <row r="31" ht="70.15" customHeight="1" spans="1:11">
      <c r="A31" s="160"/>
      <c r="B31" s="178"/>
      <c r="C31" s="161"/>
      <c r="D31" s="133"/>
      <c r="E31" s="134"/>
      <c r="F31" s="134"/>
      <c r="G31" s="135"/>
      <c r="H31" s="134"/>
      <c r="I31" s="133"/>
      <c r="J31" s="132"/>
      <c r="K31" s="132"/>
    </row>
    <row r="32" ht="70.15" customHeight="1" spans="1:11">
      <c r="A32" s="179"/>
      <c r="B32" s="180"/>
      <c r="C32" s="181"/>
      <c r="D32" s="141"/>
      <c r="E32" s="143"/>
      <c r="F32" s="143"/>
      <c r="G32" s="135"/>
      <c r="H32" s="134"/>
      <c r="I32" s="133"/>
      <c r="J32" s="132"/>
      <c r="K32" s="132"/>
    </row>
    <row r="33" ht="70.15" customHeight="1" spans="1:11">
      <c r="A33" s="130"/>
      <c r="B33" s="142"/>
      <c r="C33" s="132"/>
      <c r="D33" s="141"/>
      <c r="E33" s="143"/>
      <c r="F33" s="143"/>
      <c r="G33" s="135"/>
      <c r="H33" s="134"/>
      <c r="I33" s="133"/>
      <c r="J33" s="132"/>
      <c r="K33" s="132"/>
    </row>
    <row r="34" ht="70.15" customHeight="1" spans="1:11">
      <c r="A34" s="130"/>
      <c r="B34" s="142"/>
      <c r="C34" s="132"/>
      <c r="D34" s="141"/>
      <c r="E34" s="143"/>
      <c r="F34" s="143"/>
      <c r="G34" s="135"/>
      <c r="H34" s="134"/>
      <c r="I34" s="133"/>
      <c r="J34" s="132"/>
      <c r="K34" s="132"/>
    </row>
    <row r="35" ht="70.15" customHeight="1" spans="1:11">
      <c r="A35" s="130"/>
      <c r="B35" s="142"/>
      <c r="C35" s="132"/>
      <c r="D35" s="141"/>
      <c r="E35" s="143"/>
      <c r="F35" s="143"/>
      <c r="G35" s="135"/>
      <c r="H35" s="134"/>
      <c r="I35" s="133"/>
      <c r="J35" s="132"/>
      <c r="K35" s="132"/>
    </row>
    <row r="36" ht="70.15" customHeight="1" spans="1:11">
      <c r="A36" s="130"/>
      <c r="B36" s="142"/>
      <c r="C36" s="132"/>
      <c r="D36" s="141"/>
      <c r="E36" s="143"/>
      <c r="F36" s="143"/>
      <c r="G36" s="135"/>
      <c r="H36" s="134"/>
      <c r="I36" s="133"/>
      <c r="J36" s="132"/>
      <c r="K36" s="132"/>
    </row>
    <row r="37" ht="70.15" customHeight="1" spans="1:11">
      <c r="A37" s="130"/>
      <c r="B37" s="142"/>
      <c r="C37" s="132"/>
      <c r="D37" s="141"/>
      <c r="E37" s="143"/>
      <c r="F37" s="143"/>
      <c r="G37" s="135"/>
      <c r="H37" s="134"/>
      <c r="I37" s="133"/>
      <c r="J37" s="132"/>
      <c r="K37" s="132"/>
    </row>
    <row r="38" ht="70.15" customHeight="1" spans="1:11">
      <c r="A38" s="130"/>
      <c r="B38" s="142"/>
      <c r="C38" s="132"/>
      <c r="D38" s="141"/>
      <c r="E38" s="143"/>
      <c r="F38" s="143"/>
      <c r="G38" s="135"/>
      <c r="H38" s="134"/>
      <c r="I38" s="133"/>
      <c r="J38" s="132"/>
      <c r="K38" s="132"/>
    </row>
    <row r="39" ht="70.15" customHeight="1" spans="1:11">
      <c r="A39" s="130"/>
      <c r="B39" s="142"/>
      <c r="C39" s="132"/>
      <c r="D39" s="141"/>
      <c r="E39" s="143"/>
      <c r="F39" s="143"/>
      <c r="G39" s="135"/>
      <c r="H39" s="134"/>
      <c r="I39" s="133"/>
      <c r="J39" s="132"/>
      <c r="K39" s="132"/>
    </row>
    <row r="40" ht="70.15" customHeight="1" spans="1:11">
      <c r="A40" s="130"/>
      <c r="B40" s="142"/>
      <c r="C40" s="132"/>
      <c r="D40" s="141"/>
      <c r="E40" s="143"/>
      <c r="F40" s="143"/>
      <c r="G40" s="135"/>
      <c r="H40" s="134"/>
      <c r="I40" s="133"/>
      <c r="J40" s="132"/>
      <c r="K40" s="132"/>
    </row>
    <row r="41" ht="70.15" customHeight="1" spans="1:11">
      <c r="A41" s="130"/>
      <c r="B41" s="142"/>
      <c r="C41" s="132"/>
      <c r="D41" s="141"/>
      <c r="E41" s="143"/>
      <c r="F41" s="143"/>
      <c r="G41" s="135"/>
      <c r="H41" s="134"/>
      <c r="I41" s="133"/>
      <c r="J41" s="132"/>
      <c r="K41" s="132"/>
    </row>
    <row r="42" ht="70.15" customHeight="1" spans="1:11">
      <c r="A42" s="130"/>
      <c r="B42" s="142"/>
      <c r="C42" s="132"/>
      <c r="D42" s="141"/>
      <c r="E42" s="143"/>
      <c r="F42" s="143"/>
      <c r="G42" s="135"/>
      <c r="H42" s="134"/>
      <c r="I42" s="133"/>
      <c r="J42" s="132"/>
      <c r="K42" s="132"/>
    </row>
    <row r="43" ht="70.15" customHeight="1" spans="1:11">
      <c r="A43" s="130"/>
      <c r="B43" s="142"/>
      <c r="C43" s="132"/>
      <c r="D43" s="141"/>
      <c r="E43" s="143"/>
      <c r="F43" s="143"/>
      <c r="G43" s="135"/>
      <c r="H43" s="134"/>
      <c r="I43" s="133"/>
      <c r="J43" s="132"/>
      <c r="K43" s="132"/>
    </row>
    <row r="44" ht="70.15" customHeight="1" spans="1:11">
      <c r="A44" s="130"/>
      <c r="B44" s="142"/>
      <c r="C44" s="132"/>
      <c r="D44" s="141"/>
      <c r="E44" s="143"/>
      <c r="F44" s="143"/>
      <c r="G44" s="135"/>
      <c r="H44" s="134"/>
      <c r="I44" s="133"/>
      <c r="J44" s="132"/>
      <c r="K44" s="132"/>
    </row>
    <row r="45" ht="70.15" customHeight="1" spans="1:11">
      <c r="A45" s="130"/>
      <c r="B45" s="142"/>
      <c r="C45" s="132"/>
      <c r="D45" s="141"/>
      <c r="E45" s="143"/>
      <c r="F45" s="143"/>
      <c r="G45" s="135"/>
      <c r="H45" s="134"/>
      <c r="I45" s="133"/>
      <c r="J45" s="132"/>
      <c r="K45" s="132"/>
    </row>
    <row r="46" ht="70.15" customHeight="1" spans="1:11">
      <c r="A46" s="130"/>
      <c r="B46" s="142"/>
      <c r="C46" s="132"/>
      <c r="D46" s="141"/>
      <c r="E46" s="143"/>
      <c r="F46" s="143"/>
      <c r="G46" s="135"/>
      <c r="H46" s="134"/>
      <c r="I46" s="133"/>
      <c r="J46" s="132"/>
      <c r="K46" s="132"/>
    </row>
    <row r="47" ht="70.15" customHeight="1" spans="1:11">
      <c r="A47" s="130"/>
      <c r="B47" s="142"/>
      <c r="C47" s="132"/>
      <c r="D47" s="141"/>
      <c r="E47" s="143"/>
      <c r="F47" s="143"/>
      <c r="G47" s="135"/>
      <c r="H47" s="134"/>
      <c r="I47" s="133"/>
      <c r="J47" s="132"/>
      <c r="K47" s="132"/>
    </row>
    <row r="48" ht="70.15" customHeight="1" spans="1:11">
      <c r="A48" s="130"/>
      <c r="B48" s="142"/>
      <c r="C48" s="132"/>
      <c r="D48" s="141"/>
      <c r="E48" s="143"/>
      <c r="F48" s="143"/>
      <c r="G48" s="135"/>
      <c r="H48" s="134"/>
      <c r="I48" s="133"/>
      <c r="J48" s="132"/>
      <c r="K48" s="132"/>
    </row>
    <row r="49" ht="12" customHeight="1"/>
    <row r="50" ht="12" customHeight="1"/>
    <row r="51" ht="12" customHeight="1"/>
    <row r="52" ht="12" customHeight="1"/>
  </sheetData>
  <mergeCells count="5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K16"/>
    <mergeCell ref="D17:F17"/>
    <mergeCell ref="D18:F18"/>
    <mergeCell ref="D19:F19"/>
    <mergeCell ref="A20:K20"/>
    <mergeCell ref="D21:F21"/>
    <mergeCell ref="D22:F22"/>
    <mergeCell ref="D23:F23"/>
    <mergeCell ref="D24:F24"/>
    <mergeCell ref="A25:K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zoomScale="115" zoomScaleNormal="115" workbookViewId="0">
      <selection activeCell="A11" sqref="A11:K11"/>
    </sheetView>
  </sheetViews>
  <sheetFormatPr defaultColWidth="9" defaultRowHeight="13.2"/>
  <cols>
    <col min="1" max="1" width="15.6296296296296" customWidth="1"/>
    <col min="2" max="2" width="27.5" customWidth="1"/>
    <col min="3" max="3" width="33" customWidth="1"/>
    <col min="6" max="6" width="12.8796296296296" customWidth="1"/>
    <col min="7" max="7" width="0.87962962962963" customWidth="1"/>
    <col min="9" max="9" width="7.5" customWidth="1"/>
  </cols>
  <sheetData>
    <row r="1" spans="1:11">
      <c r="A1" s="79" t="s">
        <v>0</v>
      </c>
      <c r="B1" s="82" t="s">
        <v>403</v>
      </c>
      <c r="C1" s="81"/>
      <c r="D1" s="81"/>
      <c r="E1" s="81"/>
      <c r="F1" s="81"/>
      <c r="G1" s="81"/>
      <c r="H1" s="81"/>
      <c r="I1" s="81"/>
      <c r="J1" s="82"/>
      <c r="K1" s="81"/>
    </row>
    <row r="2" ht="13.95" spans="1:11">
      <c r="A2" s="83"/>
      <c r="B2" s="154"/>
      <c r="C2" s="154"/>
      <c r="D2" s="154"/>
      <c r="E2" s="81"/>
      <c r="F2" s="81"/>
      <c r="G2" s="81"/>
      <c r="H2" s="81"/>
      <c r="I2" s="81"/>
      <c r="J2" s="82"/>
      <c r="K2" s="81"/>
    </row>
    <row r="3" ht="14.25" customHeight="1" spans="1:11">
      <c r="A3" s="85" t="s">
        <v>61</v>
      </c>
      <c r="B3" s="86" t="s">
        <v>62</v>
      </c>
      <c r="C3" s="86"/>
      <c r="D3" s="87"/>
      <c r="E3" s="88"/>
      <c r="F3" s="88"/>
      <c r="G3" s="88"/>
      <c r="H3" s="88"/>
      <c r="I3" s="89"/>
      <c r="J3" s="89"/>
      <c r="K3" s="89"/>
    </row>
    <row r="4" ht="13.5" customHeight="1" spans="1:11">
      <c r="A4" s="91" t="s">
        <v>63</v>
      </c>
      <c r="B4" s="92" t="s">
        <v>404</v>
      </c>
      <c r="C4" s="93"/>
      <c r="D4" s="94"/>
      <c r="E4" s="88"/>
      <c r="F4" s="88"/>
      <c r="G4" s="88"/>
      <c r="H4" s="88"/>
      <c r="I4" s="89"/>
      <c r="J4" s="89"/>
      <c r="K4" s="89"/>
    </row>
    <row r="5" ht="12.75" customHeight="1" spans="1:11">
      <c r="A5" s="91" t="s">
        <v>65</v>
      </c>
      <c r="B5" s="95" t="s">
        <v>66</v>
      </c>
      <c r="C5" s="96"/>
      <c r="D5" s="97"/>
      <c r="E5" s="98"/>
      <c r="F5" s="98"/>
      <c r="G5" s="98"/>
      <c r="H5" s="98"/>
      <c r="I5" s="99"/>
      <c r="J5" s="99"/>
      <c r="K5" s="99"/>
    </row>
    <row r="6" spans="1:11">
      <c r="A6" s="101" t="s">
        <v>67</v>
      </c>
      <c r="B6" s="102">
        <f>COUNTIF(J12:J21,"Pass")</f>
        <v>0</v>
      </c>
      <c r="C6" s="103" t="s">
        <v>68</v>
      </c>
      <c r="D6" s="104">
        <f>COUNTIF(J10:J740,"Pending")</f>
        <v>8</v>
      </c>
      <c r="E6" s="89"/>
      <c r="F6" s="89"/>
      <c r="G6" s="89"/>
      <c r="H6" s="89"/>
      <c r="I6" s="89"/>
      <c r="J6" s="89"/>
      <c r="K6" s="89"/>
    </row>
    <row r="7" ht="13.95" spans="1:11">
      <c r="A7" s="105" t="s">
        <v>69</v>
      </c>
      <c r="B7" s="106">
        <f>COUNTIF(J12:J21,"Fail")</f>
        <v>0</v>
      </c>
      <c r="C7" s="107" t="s">
        <v>70</v>
      </c>
      <c r="D7" s="108">
        <f>COUNTA(A12:A22)-3</f>
        <v>8</v>
      </c>
      <c r="E7" s="109"/>
      <c r="F7" s="109"/>
      <c r="G7" s="109"/>
      <c r="H7" s="109"/>
      <c r="I7" s="89"/>
      <c r="J7" s="89"/>
      <c r="K7" s="89"/>
    </row>
    <row r="8" spans="1:11">
      <c r="A8" s="110"/>
      <c r="B8" s="110"/>
      <c r="C8" s="110"/>
      <c r="D8" s="110"/>
      <c r="E8" s="89"/>
      <c r="F8" s="89"/>
      <c r="G8" s="89"/>
      <c r="H8" s="89"/>
      <c r="I8" s="89"/>
      <c r="J8" s="111"/>
      <c r="K8" s="111"/>
    </row>
    <row r="9" spans="1:11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</row>
    <row r="10" spans="1:11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</row>
    <row r="11" ht="15" spans="1: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pans="1:11">
      <c r="A12" s="127" t="s">
        <v>405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ht="52.5" customHeight="1" spans="1:11">
      <c r="A13" s="162" t="s">
        <v>80</v>
      </c>
      <c r="B13" s="131" t="s">
        <v>406</v>
      </c>
      <c r="C13" s="131" t="s">
        <v>407</v>
      </c>
      <c r="D13" s="163" t="s">
        <v>408</v>
      </c>
      <c r="E13" s="164"/>
      <c r="F13" s="164"/>
      <c r="G13" s="165"/>
      <c r="H13" s="164"/>
      <c r="I13" s="166"/>
      <c r="J13" s="131" t="s">
        <v>68</v>
      </c>
      <c r="K13" s="131"/>
    </row>
    <row r="14" ht="57" customHeight="1" spans="1:11">
      <c r="A14" s="162" t="s">
        <v>85</v>
      </c>
      <c r="B14" s="131" t="s">
        <v>409</v>
      </c>
      <c r="C14" s="131" t="s">
        <v>407</v>
      </c>
      <c r="D14" s="163" t="s">
        <v>410</v>
      </c>
      <c r="E14" s="164"/>
      <c r="F14" s="164"/>
      <c r="G14" s="165"/>
      <c r="H14" s="164"/>
      <c r="I14" s="166"/>
      <c r="J14" s="131" t="s">
        <v>68</v>
      </c>
      <c r="K14" s="131"/>
    </row>
    <row r="15" spans="1:11">
      <c r="A15" s="167" t="s">
        <v>411</v>
      </c>
      <c r="B15" s="168"/>
      <c r="C15" s="168"/>
      <c r="D15" s="168"/>
      <c r="E15" s="168"/>
      <c r="F15" s="168"/>
      <c r="G15" s="168"/>
      <c r="H15" s="168"/>
      <c r="I15" s="168"/>
      <c r="J15" s="168"/>
      <c r="K15" s="169"/>
    </row>
    <row r="16" ht="78" customHeight="1" spans="1:11">
      <c r="A16" s="162" t="s">
        <v>90</v>
      </c>
      <c r="B16" s="170" t="s">
        <v>412</v>
      </c>
      <c r="C16" s="170" t="s">
        <v>413</v>
      </c>
      <c r="D16" s="163" t="s">
        <v>414</v>
      </c>
      <c r="E16" s="164"/>
      <c r="F16" s="164"/>
      <c r="G16" s="165"/>
      <c r="H16" s="164"/>
      <c r="I16" s="163"/>
      <c r="J16" s="131" t="s">
        <v>68</v>
      </c>
      <c r="K16" s="131"/>
    </row>
    <row r="17" ht="40.5" customHeight="1" spans="1:11">
      <c r="A17" s="162" t="s">
        <v>95</v>
      </c>
      <c r="B17" s="170" t="s">
        <v>415</v>
      </c>
      <c r="C17" s="170" t="s">
        <v>416</v>
      </c>
      <c r="D17" s="163" t="s">
        <v>417</v>
      </c>
      <c r="E17" s="164"/>
      <c r="F17" s="164"/>
      <c r="G17" s="165"/>
      <c r="H17" s="164"/>
      <c r="I17" s="163"/>
      <c r="J17" s="131" t="s">
        <v>68</v>
      </c>
      <c r="K17" s="131"/>
    </row>
    <row r="18" ht="54.75" customHeight="1" spans="1:11">
      <c r="A18" s="162" t="s">
        <v>100</v>
      </c>
      <c r="B18" s="170" t="s">
        <v>418</v>
      </c>
      <c r="C18" s="170" t="s">
        <v>419</v>
      </c>
      <c r="D18" s="163" t="s">
        <v>420</v>
      </c>
      <c r="E18" s="164"/>
      <c r="F18" s="164"/>
      <c r="G18" s="165"/>
      <c r="H18" s="164"/>
      <c r="I18" s="163"/>
      <c r="J18" s="131" t="s">
        <v>68</v>
      </c>
      <c r="K18" s="131"/>
    </row>
    <row r="19" ht="105.75" customHeight="1" spans="1:11">
      <c r="A19" s="162" t="s">
        <v>104</v>
      </c>
      <c r="B19" s="170" t="s">
        <v>421</v>
      </c>
      <c r="C19" s="170" t="s">
        <v>422</v>
      </c>
      <c r="D19" s="163" t="s">
        <v>423</v>
      </c>
      <c r="E19" s="164"/>
      <c r="F19" s="164"/>
      <c r="G19" s="165"/>
      <c r="H19" s="164"/>
      <c r="I19" s="163"/>
      <c r="J19" s="131" t="s">
        <v>68</v>
      </c>
      <c r="K19" s="131"/>
    </row>
    <row r="20" spans="1:11">
      <c r="A20" s="167" t="s">
        <v>424</v>
      </c>
      <c r="B20" s="168"/>
      <c r="C20" s="168"/>
      <c r="D20" s="168"/>
      <c r="E20" s="168"/>
      <c r="F20" s="168"/>
      <c r="G20" s="168"/>
      <c r="H20" s="168"/>
      <c r="I20" s="168"/>
      <c r="J20" s="168"/>
      <c r="K20" s="169"/>
    </row>
    <row r="21" ht="65.25" customHeight="1" spans="1:11">
      <c r="A21" s="162" t="s">
        <v>109</v>
      </c>
      <c r="B21" s="131" t="s">
        <v>425</v>
      </c>
      <c r="C21" s="131" t="s">
        <v>426</v>
      </c>
      <c r="D21" s="163" t="s">
        <v>427</v>
      </c>
      <c r="E21" s="171"/>
      <c r="F21" s="171"/>
      <c r="G21" s="165"/>
      <c r="H21" s="164"/>
      <c r="I21" s="163"/>
      <c r="J21" s="131" t="s">
        <v>68</v>
      </c>
      <c r="K21" s="131"/>
    </row>
    <row r="22" ht="69.95" customHeight="1" spans="1:11">
      <c r="A22" s="162" t="s">
        <v>113</v>
      </c>
      <c r="B22" s="131" t="s">
        <v>428</v>
      </c>
      <c r="C22" s="131" t="s">
        <v>429</v>
      </c>
      <c r="D22" s="163" t="s">
        <v>430</v>
      </c>
      <c r="E22" s="171"/>
      <c r="F22" s="171"/>
      <c r="G22" s="165"/>
      <c r="H22" s="164"/>
      <c r="I22" s="163"/>
      <c r="J22" s="131" t="s">
        <v>68</v>
      </c>
      <c r="K22" s="131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A15:C15"/>
    <mergeCell ref="D16:F16"/>
    <mergeCell ref="D17:F17"/>
    <mergeCell ref="D18:F18"/>
    <mergeCell ref="D19:F19"/>
    <mergeCell ref="A20:C20"/>
    <mergeCell ref="D21:F21"/>
    <mergeCell ref="D22:F2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7"/>
  <sheetViews>
    <sheetView zoomScale="83" zoomScaleNormal="83" topLeftCell="A28" workbookViewId="0">
      <selection activeCell="F5" sqref="F5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8.75" style="5"/>
    <col min="11" max="11" width="18" customWidth="1"/>
  </cols>
  <sheetData>
    <row r="1" s="73" customFormat="1" ht="12.75" customHeight="1" spans="1:12">
      <c r="A1" s="79" t="s">
        <v>0</v>
      </c>
      <c r="B1" s="82" t="s">
        <v>220</v>
      </c>
      <c r="C1" s="81"/>
      <c r="D1" s="81"/>
      <c r="E1" s="81"/>
      <c r="F1" s="81"/>
      <c r="G1" s="81"/>
      <c r="H1" s="81"/>
      <c r="I1" s="81"/>
      <c r="J1" s="82"/>
      <c r="K1" s="81"/>
      <c r="L1" s="83"/>
    </row>
    <row r="2" s="73" customFormat="1" ht="11.25" customHeight="1" spans="1:12">
      <c r="A2" s="83"/>
      <c r="B2" s="154"/>
      <c r="C2" s="154"/>
      <c r="D2" s="154"/>
      <c r="E2" s="81"/>
      <c r="F2" s="81"/>
      <c r="G2" s="81"/>
      <c r="H2" s="81"/>
      <c r="I2" s="81"/>
      <c r="J2" s="82"/>
      <c r="K2" s="81"/>
      <c r="L2" s="83"/>
    </row>
    <row r="3" s="74" customFormat="1" ht="15" customHeight="1" spans="1:12">
      <c r="A3" s="155" t="s">
        <v>61</v>
      </c>
      <c r="B3" s="86" t="s">
        <v>62</v>
      </c>
      <c r="C3" s="86"/>
      <c r="D3" s="87"/>
      <c r="E3" s="88"/>
      <c r="F3" s="88"/>
      <c r="G3" s="88"/>
      <c r="H3" s="88"/>
      <c r="I3" s="89"/>
      <c r="J3" s="89"/>
      <c r="K3" s="89"/>
      <c r="L3" s="90"/>
    </row>
    <row r="4" s="74" customFormat="1" ht="13.15" customHeight="1" spans="1:12">
      <c r="A4" s="91" t="s">
        <v>63</v>
      </c>
      <c r="B4" s="92" t="s">
        <v>431</v>
      </c>
      <c r="C4" s="93"/>
      <c r="D4" s="94"/>
      <c r="E4" s="88"/>
      <c r="F4" s="88"/>
      <c r="G4" s="88"/>
      <c r="H4" s="88"/>
      <c r="I4" s="89"/>
      <c r="J4" s="89"/>
      <c r="K4" s="89"/>
      <c r="L4" s="90"/>
    </row>
    <row r="5" s="75" customFormat="1" ht="26.4" spans="1:12">
      <c r="A5" s="156" t="s">
        <v>65</v>
      </c>
      <c r="B5" s="95" t="s">
        <v>66</v>
      </c>
      <c r="C5" s="96"/>
      <c r="D5" s="97"/>
      <c r="E5" s="98"/>
      <c r="F5" s="98"/>
      <c r="G5" s="98"/>
      <c r="H5" s="98"/>
      <c r="I5" s="99"/>
      <c r="J5" s="99"/>
      <c r="K5" s="99"/>
      <c r="L5" s="100"/>
    </row>
    <row r="6" s="74" customFormat="1" ht="15" customHeight="1" spans="1:12">
      <c r="A6" s="101" t="s">
        <v>67</v>
      </c>
      <c r="B6" s="102">
        <f>COUNTIF(J12:J23,"Pass")</f>
        <v>0</v>
      </c>
      <c r="C6" s="103" t="s">
        <v>68</v>
      </c>
      <c r="D6" s="104">
        <f>COUNTIF(J10:J741,"Pending")</f>
        <v>0</v>
      </c>
      <c r="E6" s="89"/>
      <c r="F6" s="89"/>
      <c r="G6" s="89"/>
      <c r="H6" s="89"/>
      <c r="I6" s="89"/>
      <c r="J6" s="89"/>
      <c r="K6" s="89"/>
      <c r="L6" s="90"/>
    </row>
    <row r="7" s="74" customFormat="1" ht="15" customHeight="1" spans="1:12">
      <c r="A7" s="105" t="s">
        <v>69</v>
      </c>
      <c r="B7" s="106">
        <f>COUNTIF(J12:J23,"Fail")</f>
        <v>0</v>
      </c>
      <c r="C7" s="107" t="s">
        <v>70</v>
      </c>
      <c r="D7" s="108">
        <f>COUNTA(A12:A27)-4</f>
        <v>12</v>
      </c>
      <c r="E7" s="109"/>
      <c r="F7" s="109"/>
      <c r="G7" s="109"/>
      <c r="H7" s="109"/>
      <c r="I7" s="89"/>
      <c r="J7" s="89"/>
      <c r="K7" s="89"/>
      <c r="L7" s="90"/>
    </row>
    <row r="8" s="74" customFormat="1" ht="15" customHeight="1" spans="1:12">
      <c r="A8" s="110"/>
      <c r="B8" s="110"/>
      <c r="C8" s="110"/>
      <c r="D8" s="110"/>
      <c r="F8" s="89"/>
      <c r="G8" s="89"/>
      <c r="H8" s="89"/>
      <c r="I8" s="89"/>
      <c r="J8" s="111"/>
      <c r="K8" s="111"/>
      <c r="L8" s="90"/>
    </row>
    <row r="9" s="76" customFormat="1" ht="12" customHeight="1" spans="1:12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  <c r="L9" s="119"/>
    </row>
    <row r="10" s="74" customFormat="1" ht="12" customHeight="1" spans="1:12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  <c r="L10" s="90"/>
    </row>
    <row r="11" s="77" customFormat="1" ht="15" spans="1:12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="78" customFormat="1" ht="29.45" customHeight="1" spans="1:12">
      <c r="A12" s="157" t="s">
        <v>432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="78" customFormat="1" ht="69" customHeight="1" outlineLevel="1" spans="1:12">
      <c r="A13" s="158" t="s">
        <v>80</v>
      </c>
      <c r="B13" s="159" t="s">
        <v>433</v>
      </c>
      <c r="C13" s="159" t="s">
        <v>434</v>
      </c>
      <c r="D13" s="133" t="s">
        <v>435</v>
      </c>
      <c r="E13" s="134"/>
      <c r="F13" s="134"/>
      <c r="G13" s="135"/>
      <c r="H13" s="134"/>
      <c r="I13" s="136"/>
      <c r="J13" s="132"/>
      <c r="K13" s="132"/>
    </row>
    <row r="14" s="78" customFormat="1" ht="63.75" customHeight="1" outlineLevel="1" spans="1:12">
      <c r="A14" s="160" t="s">
        <v>85</v>
      </c>
      <c r="B14" s="161" t="s">
        <v>436</v>
      </c>
      <c r="C14" s="161" t="s">
        <v>437</v>
      </c>
      <c r="D14" s="133" t="s">
        <v>438</v>
      </c>
      <c r="E14" s="134"/>
      <c r="F14" s="134"/>
      <c r="G14" s="135"/>
      <c r="H14" s="134"/>
      <c r="I14" s="133"/>
      <c r="J14" s="132"/>
      <c r="K14" s="132"/>
    </row>
    <row r="15" s="78" customFormat="1" ht="70.15" customHeight="1" outlineLevel="1" spans="1:12">
      <c r="A15" s="158" t="s">
        <v>90</v>
      </c>
      <c r="B15" s="159" t="s">
        <v>439</v>
      </c>
      <c r="C15" s="159" t="s">
        <v>440</v>
      </c>
      <c r="D15" s="133" t="s">
        <v>441</v>
      </c>
      <c r="E15" s="134"/>
      <c r="F15" s="134"/>
      <c r="G15" s="135"/>
      <c r="H15" s="134"/>
      <c r="I15" s="133"/>
      <c r="J15" s="132"/>
      <c r="K15" s="132"/>
    </row>
    <row r="16" ht="32.45" customHeight="1" spans="1:12">
      <c r="A16" s="157" t="s">
        <v>442</v>
      </c>
      <c r="B16" s="128"/>
      <c r="C16" s="128"/>
      <c r="D16" s="128"/>
      <c r="E16" s="128"/>
      <c r="F16" s="128"/>
      <c r="G16" s="128"/>
      <c r="H16" s="128"/>
      <c r="I16" s="128"/>
      <c r="J16" s="128"/>
      <c r="K16" s="129"/>
    </row>
    <row r="17" ht="70.15" customHeight="1" spans="1:11">
      <c r="A17" s="160" t="s">
        <v>95</v>
      </c>
      <c r="B17" s="161" t="s">
        <v>443</v>
      </c>
      <c r="C17" s="161" t="s">
        <v>444</v>
      </c>
      <c r="D17" s="133" t="s">
        <v>445</v>
      </c>
      <c r="E17" s="134"/>
      <c r="F17" s="134"/>
      <c r="G17" s="135"/>
      <c r="H17" s="134"/>
      <c r="I17" s="133"/>
      <c r="J17" s="132"/>
      <c r="K17" s="132"/>
    </row>
    <row r="18" ht="70.15" customHeight="1" spans="1:11">
      <c r="A18" s="158" t="s">
        <v>100</v>
      </c>
      <c r="B18" s="159" t="s">
        <v>446</v>
      </c>
      <c r="C18" s="159" t="s">
        <v>447</v>
      </c>
      <c r="D18" s="133" t="s">
        <v>448</v>
      </c>
      <c r="E18" s="134"/>
      <c r="F18" s="134"/>
      <c r="G18" s="135"/>
      <c r="H18" s="134"/>
      <c r="I18" s="133"/>
      <c r="J18" s="132"/>
      <c r="K18" s="132"/>
    </row>
    <row r="19" ht="70.15" customHeight="1" spans="1:11">
      <c r="A19" s="160" t="s">
        <v>104</v>
      </c>
      <c r="B19" s="161" t="s">
        <v>449</v>
      </c>
      <c r="C19" s="161" t="s">
        <v>450</v>
      </c>
      <c r="D19" s="133" t="s">
        <v>451</v>
      </c>
      <c r="E19" s="134"/>
      <c r="F19" s="134"/>
      <c r="G19" s="135"/>
      <c r="H19" s="134"/>
      <c r="I19" s="133"/>
      <c r="J19" s="132"/>
      <c r="K19" s="132"/>
    </row>
    <row r="20" ht="70.15" customHeight="1" spans="1:11">
      <c r="A20" s="158" t="s">
        <v>109</v>
      </c>
      <c r="B20" s="159" t="s">
        <v>452</v>
      </c>
      <c r="C20" s="159" t="s">
        <v>453</v>
      </c>
      <c r="D20" s="133" t="s">
        <v>454</v>
      </c>
      <c r="E20" s="134"/>
      <c r="F20" s="134"/>
      <c r="G20" s="135"/>
      <c r="H20" s="134"/>
      <c r="I20" s="133"/>
      <c r="J20" s="132"/>
      <c r="K20" s="132"/>
    </row>
    <row r="21" ht="70.15" customHeight="1" spans="1:11">
      <c r="A21" s="160" t="s">
        <v>113</v>
      </c>
      <c r="B21" s="161" t="s">
        <v>455</v>
      </c>
      <c r="C21" s="161" t="s">
        <v>456</v>
      </c>
      <c r="D21" s="133" t="s">
        <v>457</v>
      </c>
      <c r="E21" s="134"/>
      <c r="F21" s="134"/>
      <c r="G21" s="135"/>
      <c r="H21" s="134"/>
      <c r="I21" s="133"/>
      <c r="J21" s="132"/>
      <c r="K21" s="132"/>
    </row>
    <row r="22" ht="31.9" customHeight="1" spans="1:11">
      <c r="A22" s="157" t="s">
        <v>458</v>
      </c>
      <c r="B22" s="128"/>
      <c r="C22" s="128"/>
      <c r="D22" s="128"/>
      <c r="E22" s="128"/>
      <c r="F22" s="128"/>
      <c r="G22" s="128"/>
      <c r="H22" s="128"/>
      <c r="I22" s="128"/>
      <c r="J22" s="128"/>
      <c r="K22" s="129"/>
    </row>
    <row r="23" ht="70.15" customHeight="1" spans="1:11">
      <c r="A23" s="158" t="s">
        <v>118</v>
      </c>
      <c r="B23" s="159" t="s">
        <v>459</v>
      </c>
      <c r="C23" s="159" t="s">
        <v>460</v>
      </c>
      <c r="D23" s="133" t="s">
        <v>461</v>
      </c>
      <c r="E23" s="134"/>
      <c r="F23" s="134"/>
      <c r="G23" s="135"/>
      <c r="H23" s="134"/>
      <c r="I23" s="133"/>
      <c r="J23" s="132"/>
      <c r="K23" s="132"/>
    </row>
    <row r="24" ht="70.15" customHeight="1" spans="1:11">
      <c r="A24" s="160" t="s">
        <v>122</v>
      </c>
      <c r="B24" s="161" t="s">
        <v>462</v>
      </c>
      <c r="C24" s="161" t="s">
        <v>463</v>
      </c>
      <c r="D24" s="133" t="s">
        <v>464</v>
      </c>
      <c r="E24" s="134"/>
      <c r="F24" s="134"/>
      <c r="G24" s="135"/>
      <c r="H24" s="134"/>
      <c r="I24" s="133"/>
      <c r="J24" s="132"/>
      <c r="K24" s="132"/>
    </row>
    <row r="25" ht="70.15" customHeight="1" spans="1:11">
      <c r="A25" s="158" t="s">
        <v>126</v>
      </c>
      <c r="B25" s="159" t="s">
        <v>465</v>
      </c>
      <c r="C25" s="159" t="s">
        <v>466</v>
      </c>
      <c r="D25" s="133" t="s">
        <v>467</v>
      </c>
      <c r="E25" s="134"/>
      <c r="F25" s="134"/>
      <c r="G25" s="135"/>
      <c r="H25" s="134"/>
      <c r="I25" s="133"/>
      <c r="J25" s="132"/>
      <c r="K25" s="132"/>
    </row>
    <row r="26" ht="70.15" customHeight="1" spans="1:11">
      <c r="A26" s="160" t="s">
        <v>161</v>
      </c>
      <c r="B26" s="161" t="s">
        <v>468</v>
      </c>
      <c r="C26" s="161" t="s">
        <v>469</v>
      </c>
      <c r="D26" s="133" t="s">
        <v>470</v>
      </c>
      <c r="E26" s="134"/>
      <c r="F26" s="134"/>
      <c r="G26" s="135"/>
      <c r="H26" s="134"/>
      <c r="I26" s="133"/>
      <c r="J26" s="132"/>
      <c r="K26" s="132"/>
    </row>
    <row r="27" ht="70.15" customHeight="1" spans="1:11">
      <c r="A27" s="158" t="s">
        <v>298</v>
      </c>
      <c r="B27" s="159" t="s">
        <v>471</v>
      </c>
      <c r="C27" s="159" t="s">
        <v>472</v>
      </c>
      <c r="D27" s="133" t="s">
        <v>473</v>
      </c>
      <c r="E27" s="134"/>
      <c r="F27" s="134"/>
      <c r="G27" s="135"/>
      <c r="H27" s="134"/>
      <c r="I27" s="133"/>
      <c r="J27" s="132"/>
      <c r="K27" s="132"/>
    </row>
    <row r="28" ht="70.15" customHeight="1" spans="1:11">
      <c r="A28" s="160" t="s">
        <v>302</v>
      </c>
      <c r="B28" s="161" t="s">
        <v>474</v>
      </c>
      <c r="C28" s="161" t="s">
        <v>475</v>
      </c>
      <c r="D28" s="133" t="s">
        <v>476</v>
      </c>
      <c r="E28" s="134"/>
      <c r="F28" s="134"/>
      <c r="G28" s="135"/>
      <c r="H28" s="134"/>
      <c r="I28" s="133"/>
      <c r="J28" s="132"/>
      <c r="K28" s="132"/>
    </row>
    <row r="29" ht="70.15" customHeight="1" spans="1:11">
      <c r="A29" s="158" t="s">
        <v>307</v>
      </c>
      <c r="B29" s="159" t="s">
        <v>477</v>
      </c>
      <c r="C29" s="159" t="s">
        <v>478</v>
      </c>
      <c r="D29" s="133" t="s">
        <v>479</v>
      </c>
      <c r="E29" s="134"/>
      <c r="F29" s="134"/>
      <c r="G29" s="135"/>
      <c r="H29" s="134"/>
      <c r="I29" s="133"/>
      <c r="J29" s="132"/>
      <c r="K29" s="132"/>
    </row>
    <row r="30" ht="31.9" customHeight="1" spans="1:11">
      <c r="A30" s="157" t="s">
        <v>480</v>
      </c>
      <c r="B30" s="128"/>
      <c r="C30" s="128"/>
      <c r="D30" s="128"/>
      <c r="E30" s="128"/>
      <c r="F30" s="128"/>
      <c r="G30" s="128"/>
      <c r="H30" s="128"/>
      <c r="I30" s="128"/>
      <c r="J30" s="128"/>
      <c r="K30" s="129"/>
    </row>
    <row r="31" ht="70.15" customHeight="1" spans="1:11">
      <c r="A31" s="160" t="s">
        <v>311</v>
      </c>
      <c r="B31" s="161" t="s">
        <v>481</v>
      </c>
      <c r="C31" s="161" t="s">
        <v>482</v>
      </c>
      <c r="D31" s="133" t="s">
        <v>483</v>
      </c>
      <c r="E31" s="134"/>
      <c r="F31" s="134"/>
      <c r="G31" s="135"/>
      <c r="H31" s="134"/>
      <c r="I31" s="133"/>
      <c r="J31" s="132"/>
      <c r="K31" s="132"/>
    </row>
    <row r="32" ht="70.15" customHeight="1" spans="1:11">
      <c r="A32" s="158" t="s">
        <v>315</v>
      </c>
      <c r="B32" s="159" t="s">
        <v>484</v>
      </c>
      <c r="C32" s="159" t="s">
        <v>485</v>
      </c>
      <c r="D32" s="133" t="s">
        <v>486</v>
      </c>
      <c r="E32" s="134"/>
      <c r="F32" s="134"/>
      <c r="G32" s="135"/>
      <c r="H32" s="134"/>
      <c r="I32" s="133"/>
      <c r="J32" s="132"/>
      <c r="K32" s="132"/>
    </row>
    <row r="33" ht="70.15" customHeight="1" spans="1:11">
      <c r="A33" s="130"/>
      <c r="B33" s="142"/>
      <c r="C33" s="132"/>
      <c r="D33" s="141"/>
      <c r="E33" s="143"/>
      <c r="F33" s="143"/>
      <c r="G33" s="135"/>
      <c r="H33" s="134"/>
      <c r="I33" s="133"/>
      <c r="J33" s="132"/>
      <c r="K33" s="132"/>
    </row>
    <row r="34" ht="70.15" customHeight="1" spans="1:11">
      <c r="A34" s="130"/>
      <c r="B34" s="142"/>
      <c r="C34" s="132"/>
      <c r="D34" s="141"/>
      <c r="E34" s="143"/>
      <c r="F34" s="143"/>
      <c r="G34" s="135"/>
      <c r="H34" s="134"/>
      <c r="I34" s="133"/>
      <c r="J34" s="132"/>
      <c r="K34" s="132"/>
    </row>
    <row r="35" ht="70.15" customHeight="1" spans="1:11">
      <c r="A35" s="130"/>
      <c r="B35" s="142"/>
      <c r="C35" s="132"/>
      <c r="D35" s="141"/>
      <c r="E35" s="143"/>
      <c r="F35" s="143"/>
      <c r="G35" s="135"/>
      <c r="H35" s="134"/>
      <c r="I35" s="133"/>
      <c r="J35" s="132"/>
      <c r="K35" s="132"/>
    </row>
    <row r="36" ht="70.15" customHeight="1" spans="1:11">
      <c r="A36" s="130"/>
      <c r="B36" s="142"/>
      <c r="C36" s="132"/>
      <c r="D36" s="141"/>
      <c r="E36" s="143"/>
      <c r="F36" s="143"/>
      <c r="G36" s="135"/>
      <c r="H36" s="134"/>
      <c r="I36" s="133"/>
      <c r="J36" s="132"/>
      <c r="K36" s="132"/>
    </row>
    <row r="37" ht="70.15" customHeight="1" spans="1:11">
      <c r="A37" s="130"/>
      <c r="B37" s="142"/>
      <c r="C37" s="132"/>
      <c r="D37" s="141"/>
      <c r="E37" s="143"/>
      <c r="F37" s="143"/>
      <c r="G37" s="135"/>
      <c r="H37" s="134"/>
      <c r="I37" s="133"/>
      <c r="J37" s="132"/>
      <c r="K37" s="132"/>
    </row>
    <row r="38" ht="70.15" customHeight="1" spans="1:11">
      <c r="A38" s="130"/>
      <c r="B38" s="142"/>
      <c r="C38" s="132"/>
      <c r="D38" s="141"/>
      <c r="E38" s="143"/>
      <c r="F38" s="143"/>
      <c r="G38" s="135"/>
      <c r="H38" s="134"/>
      <c r="I38" s="133"/>
      <c r="J38" s="132"/>
      <c r="K38" s="132"/>
    </row>
    <row r="39" ht="70.15" customHeight="1" spans="1:11">
      <c r="A39" s="130"/>
      <c r="B39" s="142"/>
      <c r="C39" s="132"/>
      <c r="D39" s="141"/>
      <c r="E39" s="143"/>
      <c r="F39" s="143"/>
      <c r="G39" s="135"/>
      <c r="H39" s="134"/>
      <c r="I39" s="133"/>
      <c r="J39" s="132"/>
      <c r="K39" s="132"/>
    </row>
    <row r="40" ht="70.15" customHeight="1" spans="1:11">
      <c r="A40" s="130"/>
      <c r="B40" s="142"/>
      <c r="C40" s="132"/>
      <c r="D40" s="141"/>
      <c r="E40" s="143"/>
      <c r="F40" s="143"/>
      <c r="G40" s="135"/>
      <c r="H40" s="134"/>
      <c r="I40" s="133"/>
      <c r="J40" s="132"/>
      <c r="K40" s="132"/>
    </row>
    <row r="41" ht="70.15" customHeight="1" spans="1:11">
      <c r="A41" s="130"/>
      <c r="B41" s="142"/>
      <c r="C41" s="132"/>
      <c r="D41" s="141"/>
      <c r="E41" s="143"/>
      <c r="F41" s="143"/>
      <c r="G41" s="135"/>
      <c r="H41" s="134"/>
      <c r="I41" s="133"/>
      <c r="J41" s="132"/>
      <c r="K41" s="132"/>
    </row>
    <row r="42" ht="70.15" customHeight="1" spans="1:11">
      <c r="A42" s="130"/>
      <c r="B42" s="142"/>
      <c r="C42" s="132"/>
      <c r="D42" s="141"/>
      <c r="E42" s="143"/>
      <c r="F42" s="143"/>
      <c r="G42" s="135"/>
      <c r="H42" s="134"/>
      <c r="I42" s="133"/>
      <c r="J42" s="132"/>
      <c r="K42" s="132"/>
    </row>
    <row r="43" ht="70.15" customHeight="1" spans="1:11">
      <c r="A43" s="130"/>
      <c r="B43" s="142"/>
      <c r="C43" s="132"/>
      <c r="D43" s="141"/>
      <c r="E43" s="143"/>
      <c r="F43" s="143"/>
      <c r="G43" s="135"/>
      <c r="H43" s="134"/>
      <c r="I43" s="133"/>
      <c r="J43" s="132"/>
      <c r="K43" s="132"/>
    </row>
    <row r="44" ht="70.15" customHeight="1" spans="1:11">
      <c r="A44" s="130"/>
      <c r="B44" s="142"/>
      <c r="C44" s="132"/>
      <c r="D44" s="141"/>
      <c r="E44" s="143"/>
      <c r="F44" s="143"/>
      <c r="G44" s="135"/>
      <c r="H44" s="134"/>
      <c r="I44" s="133"/>
      <c r="J44" s="132"/>
      <c r="K44" s="132"/>
    </row>
    <row r="45" ht="70.15" customHeight="1" spans="1:11">
      <c r="A45" s="130"/>
      <c r="B45" s="142"/>
      <c r="C45" s="132"/>
      <c r="D45" s="141"/>
      <c r="E45" s="143"/>
      <c r="F45" s="143"/>
      <c r="G45" s="135"/>
      <c r="H45" s="134"/>
      <c r="I45" s="133"/>
      <c r="J45" s="132"/>
      <c r="K45" s="132"/>
    </row>
    <row r="46" ht="70.15" customHeight="1" spans="1:11">
      <c r="A46" s="130"/>
      <c r="B46" s="142"/>
      <c r="C46" s="132"/>
      <c r="D46" s="141"/>
      <c r="E46" s="143"/>
      <c r="F46" s="143"/>
      <c r="G46" s="135"/>
      <c r="H46" s="134"/>
      <c r="I46" s="133"/>
      <c r="J46" s="132"/>
      <c r="K46" s="132"/>
    </row>
    <row r="47" ht="70.15" customHeight="1" spans="1:11">
      <c r="A47" s="130"/>
      <c r="B47" s="142"/>
      <c r="C47" s="132"/>
      <c r="D47" s="141"/>
      <c r="E47" s="143"/>
      <c r="F47" s="143"/>
      <c r="G47" s="135"/>
      <c r="H47" s="134"/>
      <c r="I47" s="133"/>
      <c r="J47" s="132"/>
      <c r="K47" s="132"/>
    </row>
    <row r="48" ht="70.15" customHeight="1" spans="1:11">
      <c r="A48" s="130"/>
      <c r="B48" s="142"/>
      <c r="C48" s="132"/>
      <c r="D48" s="141"/>
      <c r="E48" s="143"/>
      <c r="F48" s="143"/>
      <c r="G48" s="135"/>
      <c r="H48" s="134"/>
      <c r="I48" s="133"/>
      <c r="J48" s="132"/>
      <c r="K48" s="132"/>
    </row>
    <row r="49" ht="70.15" customHeight="1" spans="1:11">
      <c r="A49" s="130"/>
      <c r="B49" s="142"/>
      <c r="C49" s="132"/>
      <c r="D49" s="141"/>
      <c r="E49" s="143"/>
      <c r="F49" s="143"/>
      <c r="G49" s="135"/>
      <c r="H49" s="134"/>
      <c r="I49" s="133"/>
      <c r="J49" s="132"/>
      <c r="K49" s="132"/>
    </row>
    <row r="50" ht="70.15" customHeight="1" spans="1:11">
      <c r="A50" s="130"/>
      <c r="B50" s="142"/>
      <c r="C50" s="132"/>
      <c r="D50" s="141"/>
      <c r="E50" s="143"/>
      <c r="F50" s="143"/>
      <c r="G50" s="135"/>
      <c r="H50" s="134"/>
      <c r="I50" s="133"/>
      <c r="J50" s="132"/>
      <c r="K50" s="132"/>
    </row>
    <row r="51" ht="70.15" customHeight="1" spans="1:11">
      <c r="A51" s="130"/>
      <c r="B51" s="142"/>
      <c r="C51" s="132"/>
      <c r="D51" s="141"/>
      <c r="E51" s="143"/>
      <c r="F51" s="143"/>
      <c r="G51" s="135"/>
      <c r="H51" s="134"/>
      <c r="I51" s="133"/>
      <c r="J51" s="132"/>
      <c r="K51" s="132"/>
    </row>
    <row r="52" ht="70.15" customHeight="1" spans="1:11">
      <c r="A52" s="130"/>
      <c r="B52" s="142"/>
      <c r="C52" s="132"/>
      <c r="D52" s="141"/>
      <c r="E52" s="143"/>
      <c r="F52" s="143"/>
      <c r="G52" s="135"/>
      <c r="H52" s="134"/>
      <c r="I52" s="133"/>
      <c r="J52" s="132"/>
      <c r="K52" s="132"/>
    </row>
    <row r="53" ht="70.15" customHeight="1" spans="1:11">
      <c r="A53" s="130"/>
      <c r="B53" s="142"/>
      <c r="C53" s="132"/>
      <c r="D53" s="141"/>
      <c r="E53" s="143"/>
      <c r="F53" s="143"/>
      <c r="G53" s="135"/>
      <c r="H53" s="134"/>
      <c r="I53" s="133"/>
      <c r="J53" s="132"/>
      <c r="K53" s="132"/>
    </row>
    <row r="54" ht="70.15" customHeight="1" spans="1:11">
      <c r="A54" s="130"/>
      <c r="B54" s="142"/>
      <c r="C54" s="132"/>
      <c r="D54" s="141"/>
      <c r="E54" s="143"/>
      <c r="F54" s="143"/>
      <c r="G54" s="135"/>
      <c r="H54" s="134"/>
      <c r="I54" s="133"/>
      <c r="J54" s="132"/>
      <c r="K54" s="132"/>
    </row>
    <row r="55" ht="70.15" customHeight="1" spans="1:11">
      <c r="A55" s="130"/>
      <c r="B55" s="142"/>
      <c r="C55" s="132"/>
      <c r="D55" s="141"/>
      <c r="E55" s="143"/>
      <c r="F55" s="143"/>
      <c r="G55" s="135"/>
      <c r="H55" s="134"/>
      <c r="I55" s="133"/>
      <c r="J55" s="132"/>
      <c r="K55" s="132"/>
    </row>
    <row r="56" ht="70.15" customHeight="1" spans="1:11">
      <c r="A56" s="130"/>
      <c r="B56" s="142"/>
      <c r="C56" s="132"/>
      <c r="D56" s="141"/>
      <c r="E56" s="143"/>
      <c r="F56" s="143"/>
      <c r="G56" s="135"/>
      <c r="H56" s="134"/>
      <c r="I56" s="133"/>
      <c r="J56" s="132"/>
      <c r="K56" s="132"/>
    </row>
    <row r="57" ht="70.15" customHeight="1" spans="1:11">
      <c r="A57" s="130"/>
      <c r="B57" s="142"/>
      <c r="C57" s="132"/>
      <c r="D57" s="141"/>
      <c r="E57" s="143"/>
      <c r="F57" s="143"/>
      <c r="G57" s="135"/>
      <c r="H57" s="134"/>
      <c r="I57" s="133"/>
      <c r="J57" s="132"/>
      <c r="K57" s="132"/>
    </row>
    <row r="58" ht="70.15" customHeight="1" spans="1:11">
      <c r="A58" s="130"/>
      <c r="B58" s="142"/>
      <c r="C58" s="132"/>
      <c r="D58" s="141"/>
      <c r="E58" s="143"/>
      <c r="F58" s="143"/>
      <c r="G58" s="135"/>
      <c r="H58" s="134"/>
      <c r="I58" s="133"/>
      <c r="J58" s="132"/>
      <c r="K58" s="132"/>
    </row>
    <row r="59" ht="70.15" customHeight="1" spans="1:11">
      <c r="A59" s="130"/>
      <c r="B59" s="142"/>
      <c r="C59" s="132"/>
      <c r="D59" s="141"/>
      <c r="E59" s="143"/>
      <c r="F59" s="143"/>
      <c r="G59" s="135"/>
      <c r="H59" s="134"/>
      <c r="I59" s="133"/>
      <c r="J59" s="132"/>
      <c r="K59" s="132"/>
    </row>
    <row r="60" ht="70.15" customHeight="1" spans="1:11">
      <c r="A60" s="130"/>
      <c r="B60" s="142"/>
      <c r="C60" s="132"/>
      <c r="D60" s="141"/>
      <c r="E60" s="143"/>
      <c r="F60" s="143"/>
      <c r="G60" s="135"/>
      <c r="H60" s="134"/>
      <c r="I60" s="133"/>
      <c r="J60" s="132"/>
      <c r="K60" s="132"/>
    </row>
    <row r="61" ht="70.15" customHeight="1" spans="1:11">
      <c r="A61" s="130"/>
      <c r="B61" s="142"/>
      <c r="C61" s="132"/>
      <c r="D61" s="141"/>
      <c r="E61" s="143"/>
      <c r="F61" s="143"/>
      <c r="G61" s="135"/>
      <c r="H61" s="134"/>
      <c r="I61" s="133"/>
      <c r="J61" s="132"/>
      <c r="K61" s="132"/>
    </row>
    <row r="62" ht="70.15" customHeight="1" spans="1:11">
      <c r="A62" s="130"/>
      <c r="B62" s="142"/>
      <c r="C62" s="132"/>
      <c r="D62" s="141"/>
      <c r="E62" s="143"/>
      <c r="F62" s="143"/>
      <c r="G62" s="135"/>
      <c r="H62" s="134"/>
      <c r="I62" s="133"/>
      <c r="J62" s="132"/>
      <c r="K62" s="132"/>
    </row>
    <row r="63" ht="70.15" customHeight="1" spans="1:11">
      <c r="A63" s="130"/>
      <c r="B63" s="142"/>
      <c r="C63" s="132"/>
      <c r="D63" s="141"/>
      <c r="E63" s="143"/>
      <c r="F63" s="143"/>
      <c r="G63" s="135"/>
      <c r="H63" s="134"/>
      <c r="I63" s="133"/>
      <c r="J63" s="132"/>
      <c r="K63" s="132"/>
    </row>
    <row r="64" ht="70.15" customHeight="1" spans="1:11">
      <c r="A64" s="130"/>
      <c r="B64" s="142"/>
      <c r="C64" s="132"/>
      <c r="D64" s="141"/>
      <c r="E64" s="143"/>
      <c r="F64" s="143"/>
      <c r="G64" s="135"/>
      <c r="H64" s="134"/>
      <c r="I64" s="133"/>
      <c r="J64" s="132"/>
      <c r="K64" s="132"/>
    </row>
    <row r="65" ht="70.15" customHeight="1" spans="1:11">
      <c r="A65" s="130"/>
      <c r="B65" s="142"/>
      <c r="C65" s="132"/>
      <c r="D65" s="141"/>
      <c r="E65" s="143"/>
      <c r="F65" s="143"/>
      <c r="G65" s="135"/>
      <c r="H65" s="134"/>
      <c r="I65" s="133"/>
      <c r="J65" s="132"/>
      <c r="K65" s="132"/>
    </row>
    <row r="66" ht="70.15" customHeight="1" spans="1:11">
      <c r="A66" s="130"/>
      <c r="B66" s="142"/>
      <c r="C66" s="132"/>
      <c r="D66" s="141"/>
      <c r="E66" s="143"/>
      <c r="F66" s="143"/>
      <c r="G66" s="135"/>
      <c r="H66" s="134"/>
      <c r="I66" s="133"/>
      <c r="J66" s="132"/>
      <c r="K66" s="132"/>
    </row>
    <row r="67" ht="70.15" customHeight="1" spans="1:11">
      <c r="A67" s="130"/>
      <c r="B67" s="142"/>
      <c r="C67" s="132"/>
      <c r="D67" s="141"/>
      <c r="E67" s="143"/>
      <c r="F67" s="143"/>
      <c r="G67" s="135"/>
      <c r="H67" s="134"/>
      <c r="I67" s="133"/>
      <c r="J67" s="132"/>
      <c r="K67" s="132"/>
    </row>
    <row r="68" ht="70.15" customHeight="1" spans="1:11">
      <c r="A68" s="130"/>
      <c r="B68" s="142"/>
      <c r="C68" s="132"/>
      <c r="D68" s="141"/>
      <c r="E68" s="143"/>
      <c r="F68" s="143"/>
      <c r="G68" s="135"/>
      <c r="H68" s="134"/>
      <c r="I68" s="133"/>
      <c r="J68" s="132"/>
      <c r="K68" s="132"/>
    </row>
    <row r="69" ht="70.15" customHeight="1" spans="1:11">
      <c r="A69" s="130"/>
      <c r="B69" s="142"/>
      <c r="C69" s="132"/>
      <c r="D69" s="141"/>
      <c r="E69" s="143"/>
      <c r="F69" s="143"/>
      <c r="G69" s="135"/>
      <c r="H69" s="134"/>
      <c r="I69" s="133"/>
      <c r="J69" s="132"/>
      <c r="K69" s="132"/>
    </row>
    <row r="70" ht="70.15" customHeight="1" spans="1:11">
      <c r="A70" s="130"/>
      <c r="B70" s="142"/>
      <c r="C70" s="132"/>
      <c r="D70" s="141"/>
      <c r="E70" s="143"/>
      <c r="F70" s="143"/>
      <c r="G70" s="135"/>
      <c r="H70" s="134"/>
      <c r="I70" s="133"/>
      <c r="J70" s="132"/>
      <c r="K70" s="132"/>
    </row>
    <row r="71" ht="70.15" customHeight="1" spans="1:11">
      <c r="A71" s="130"/>
      <c r="B71" s="142"/>
      <c r="C71" s="132"/>
      <c r="D71" s="141"/>
      <c r="E71" s="143"/>
      <c r="F71" s="143"/>
      <c r="G71" s="135"/>
      <c r="H71" s="134"/>
      <c r="I71" s="133"/>
      <c r="J71" s="132"/>
      <c r="K71" s="132"/>
    </row>
    <row r="72" ht="70.15" customHeight="1" spans="1:11">
      <c r="A72" s="130"/>
      <c r="B72" s="142"/>
      <c r="C72" s="132"/>
      <c r="D72" s="141"/>
      <c r="E72" s="143"/>
      <c r="F72" s="143"/>
      <c r="G72" s="135"/>
      <c r="H72" s="134"/>
      <c r="I72" s="133"/>
      <c r="J72" s="132"/>
      <c r="K72" s="132"/>
    </row>
    <row r="73" ht="70.15" customHeight="1" spans="1:11">
      <c r="A73" s="130"/>
      <c r="B73" s="142"/>
      <c r="C73" s="132"/>
      <c r="D73" s="141"/>
      <c r="E73" s="143"/>
      <c r="F73" s="143"/>
      <c r="G73" s="135"/>
      <c r="H73" s="134"/>
      <c r="I73" s="133"/>
      <c r="J73" s="132"/>
      <c r="K73" s="132"/>
    </row>
    <row r="74" ht="70.15" customHeight="1" spans="1:11">
      <c r="A74" s="130"/>
      <c r="B74" s="142"/>
      <c r="C74" s="132"/>
      <c r="D74" s="141"/>
      <c r="E74" s="143"/>
      <c r="F74" s="143"/>
      <c r="G74" s="135"/>
      <c r="H74" s="134"/>
      <c r="I74" s="133"/>
      <c r="J74" s="132"/>
      <c r="K74" s="132"/>
    </row>
    <row r="75" ht="70.15" customHeight="1" spans="1:11">
      <c r="A75" s="130"/>
      <c r="B75" s="142"/>
      <c r="C75" s="132"/>
      <c r="D75" s="141"/>
      <c r="E75" s="143"/>
      <c r="F75" s="143"/>
      <c r="G75" s="135"/>
      <c r="H75" s="134"/>
      <c r="I75" s="133"/>
      <c r="J75" s="132"/>
      <c r="K75" s="132"/>
    </row>
    <row r="76" ht="70.15" customHeight="1" spans="1:11">
      <c r="A76" s="130"/>
      <c r="B76" s="142"/>
      <c r="C76" s="132"/>
      <c r="D76" s="141"/>
      <c r="E76" s="143"/>
      <c r="F76" s="143"/>
      <c r="G76" s="135"/>
      <c r="H76" s="134"/>
      <c r="I76" s="133"/>
      <c r="J76" s="132"/>
      <c r="K76" s="132"/>
    </row>
    <row r="77" ht="70.15" customHeight="1" spans="1:11">
      <c r="A77" s="130"/>
      <c r="B77" s="142"/>
      <c r="C77" s="132"/>
      <c r="D77" s="141"/>
      <c r="E77" s="143"/>
      <c r="F77" s="143"/>
      <c r="G77" s="135"/>
      <c r="H77" s="134"/>
      <c r="I77" s="133"/>
      <c r="J77" s="132"/>
      <c r="K77" s="132"/>
    </row>
    <row r="78" ht="70.15" customHeight="1" spans="1:11">
      <c r="A78" s="130"/>
      <c r="B78" s="142"/>
      <c r="C78" s="132"/>
      <c r="D78" s="141"/>
      <c r="E78" s="143"/>
      <c r="F78" s="143"/>
      <c r="G78" s="135"/>
      <c r="H78" s="134"/>
      <c r="I78" s="133"/>
      <c r="J78" s="132"/>
      <c r="K78" s="132"/>
    </row>
    <row r="79" ht="70.15" customHeight="1" spans="1:11">
      <c r="A79" s="130"/>
      <c r="B79" s="142"/>
      <c r="C79" s="132"/>
      <c r="D79" s="141"/>
      <c r="E79" s="143"/>
      <c r="F79" s="143"/>
      <c r="G79" s="135"/>
      <c r="H79" s="134"/>
      <c r="I79" s="133"/>
      <c r="J79" s="132"/>
      <c r="K79" s="132"/>
    </row>
    <row r="80" ht="70.15" customHeight="1" spans="1:11">
      <c r="A80" s="130"/>
      <c r="B80" s="142"/>
      <c r="C80" s="132"/>
      <c r="D80" s="141"/>
      <c r="E80" s="143"/>
      <c r="F80" s="143"/>
      <c r="G80" s="135"/>
      <c r="H80" s="134"/>
      <c r="I80" s="133"/>
      <c r="J80" s="132"/>
      <c r="K80" s="132"/>
    </row>
    <row r="81" ht="70.15" customHeight="1" spans="1:11">
      <c r="A81" s="130"/>
      <c r="B81" s="142"/>
      <c r="C81" s="132"/>
      <c r="D81" s="141"/>
      <c r="E81" s="143"/>
      <c r="F81" s="143"/>
      <c r="G81" s="135"/>
      <c r="H81" s="134"/>
      <c r="I81" s="133"/>
      <c r="J81" s="132"/>
      <c r="K81" s="132"/>
    </row>
    <row r="82" ht="70.15" customHeight="1" spans="1:11">
      <c r="A82" s="130"/>
      <c r="B82" s="142"/>
      <c r="C82" s="132"/>
      <c r="D82" s="141"/>
      <c r="E82" s="143"/>
      <c r="F82" s="143"/>
      <c r="G82" s="135"/>
      <c r="H82" s="134"/>
      <c r="I82" s="133"/>
      <c r="J82" s="132"/>
      <c r="K82" s="132"/>
    </row>
    <row r="83" ht="70.15" customHeight="1" spans="1:11">
      <c r="A83" s="130"/>
      <c r="B83" s="142"/>
      <c r="C83" s="132"/>
      <c r="D83" s="141"/>
      <c r="E83" s="143"/>
      <c r="F83" s="143"/>
      <c r="G83" s="135"/>
      <c r="H83" s="134"/>
      <c r="I83" s="133"/>
      <c r="J83" s="132"/>
      <c r="K83" s="132"/>
    </row>
    <row r="84" ht="70.15" customHeight="1" spans="1:11">
      <c r="A84" s="130"/>
      <c r="B84" s="142"/>
      <c r="C84" s="132"/>
      <c r="D84" s="141"/>
      <c r="E84" s="143"/>
      <c r="F84" s="143"/>
      <c r="G84" s="135"/>
      <c r="H84" s="134"/>
      <c r="I84" s="133"/>
      <c r="J84" s="132"/>
      <c r="K84" s="132"/>
    </row>
    <row r="85" ht="70.15" customHeight="1" spans="1:11">
      <c r="A85" s="130"/>
      <c r="B85" s="142"/>
      <c r="C85" s="132"/>
      <c r="D85" s="141"/>
      <c r="E85" s="143"/>
      <c r="F85" s="143"/>
      <c r="G85" s="135"/>
      <c r="H85" s="134"/>
      <c r="I85" s="133"/>
      <c r="J85" s="132"/>
      <c r="K85" s="132"/>
    </row>
    <row r="86" ht="70.15" customHeight="1" spans="1:11">
      <c r="A86" s="130"/>
      <c r="B86" s="142"/>
      <c r="C86" s="132"/>
      <c r="D86" s="141"/>
      <c r="E86" s="143"/>
      <c r="F86" s="143"/>
      <c r="G86" s="135"/>
      <c r="H86" s="134"/>
      <c r="I86" s="133"/>
      <c r="J86" s="132"/>
      <c r="K86" s="132"/>
    </row>
    <row r="87" ht="70.15" customHeight="1" spans="1:11">
      <c r="A87" s="130"/>
      <c r="B87" s="142"/>
      <c r="C87" s="132"/>
      <c r="D87" s="141"/>
      <c r="E87" s="143"/>
      <c r="F87" s="143"/>
      <c r="G87" s="135"/>
      <c r="H87" s="134"/>
      <c r="I87" s="133"/>
      <c r="J87" s="132"/>
      <c r="K87" s="132"/>
    </row>
  </sheetData>
  <mergeCells count="94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A16:K16"/>
    <mergeCell ref="D17:F17"/>
    <mergeCell ref="D18:F18"/>
    <mergeCell ref="D19:F19"/>
    <mergeCell ref="D20:F20"/>
    <mergeCell ref="D21:F21"/>
    <mergeCell ref="A22:K22"/>
    <mergeCell ref="D23:F23"/>
    <mergeCell ref="D24:F24"/>
    <mergeCell ref="D25:F25"/>
    <mergeCell ref="D26:F26"/>
    <mergeCell ref="D27:F27"/>
    <mergeCell ref="D28:F28"/>
    <mergeCell ref="D29:F29"/>
    <mergeCell ref="A30:K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G6" sqref="G6"/>
    </sheetView>
  </sheetViews>
  <sheetFormatPr defaultColWidth="8.88888888888889" defaultRowHeight="13.2"/>
  <cols>
    <col min="1" max="1" width="19.4444444444444" customWidth="1"/>
    <col min="2" max="2" width="18.7777777777778" customWidth="1"/>
    <col min="3" max="3" width="33.8888888888889" customWidth="1"/>
    <col min="4" max="4" width="72.1111111111111" customWidth="1"/>
  </cols>
  <sheetData>
    <row r="1" customFormat="1" spans="1:11">
      <c r="A1" s="79" t="s">
        <v>0</v>
      </c>
      <c r="B1" s="144" t="s">
        <v>487</v>
      </c>
      <c r="C1" s="144"/>
      <c r="D1" s="144"/>
      <c r="E1" s="81"/>
      <c r="F1" s="81"/>
      <c r="G1" s="81"/>
    </row>
    <row r="2" customFormat="1" ht="13.95" spans="1:11">
      <c r="A2" s="83"/>
      <c r="B2" s="145"/>
      <c r="C2" s="145"/>
      <c r="D2" s="145"/>
      <c r="E2" s="81"/>
      <c r="F2" s="81"/>
      <c r="G2" s="81"/>
    </row>
    <row r="3" customFormat="1" spans="1:11">
      <c r="A3" s="85" t="s">
        <v>61</v>
      </c>
      <c r="B3" s="86" t="s">
        <v>62</v>
      </c>
      <c r="C3" s="86"/>
      <c r="D3" s="87"/>
      <c r="E3" s="88"/>
      <c r="F3" s="88"/>
      <c r="G3" s="88"/>
    </row>
    <row r="4" customFormat="1" spans="1:11">
      <c r="A4" s="91" t="s">
        <v>63</v>
      </c>
      <c r="B4" s="92" t="s">
        <v>488</v>
      </c>
      <c r="C4" s="93"/>
      <c r="D4" s="94"/>
      <c r="E4" s="88"/>
      <c r="F4" s="88"/>
      <c r="G4" s="88"/>
    </row>
    <row r="5" customFormat="1" spans="1:11">
      <c r="A5" s="91" t="s">
        <v>65</v>
      </c>
      <c r="B5" s="95" t="s">
        <v>66</v>
      </c>
      <c r="C5" s="96"/>
      <c r="D5" s="97"/>
      <c r="E5" s="98"/>
      <c r="F5" s="98"/>
      <c r="G5" s="98"/>
    </row>
    <row r="6" customFormat="1" spans="1:11">
      <c r="A6" s="101" t="s">
        <v>67</v>
      </c>
      <c r="B6" s="102">
        <v>0</v>
      </c>
      <c r="C6" s="103" t="s">
        <v>68</v>
      </c>
      <c r="D6" s="104">
        <v>11</v>
      </c>
      <c r="E6" s="89"/>
      <c r="F6" s="89"/>
      <c r="G6" s="89"/>
    </row>
    <row r="7" customFormat="1" ht="13.95" spans="1:11">
      <c r="A7" s="105" t="s">
        <v>69</v>
      </c>
      <c r="B7" s="106">
        <v>0</v>
      </c>
      <c r="C7" s="107" t="s">
        <v>70</v>
      </c>
      <c r="D7" s="108">
        <v>11</v>
      </c>
      <c r="E7" s="109"/>
      <c r="F7" s="109"/>
      <c r="G7" s="109"/>
    </row>
    <row r="8" customFormat="1" spans="1:11">
      <c r="A8" s="146"/>
      <c r="B8" s="146"/>
      <c r="C8" s="146"/>
      <c r="D8" s="146"/>
      <c r="E8" s="89"/>
      <c r="F8" s="89"/>
      <c r="G8" s="89"/>
    </row>
    <row r="9" customFormat="1" spans="1:11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</row>
    <row r="10" customFormat="1" spans="1:11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</row>
    <row r="11" customFormat="1" ht="15" spans="1:11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customFormat="1" spans="1:11">
      <c r="A12" s="127" t="s">
        <v>489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customFormat="1" ht="39.6" spans="1:11">
      <c r="A13" s="130" t="s">
        <v>80</v>
      </c>
      <c r="B13" s="132" t="s">
        <v>490</v>
      </c>
      <c r="C13" s="132" t="s">
        <v>491</v>
      </c>
      <c r="D13" s="147" t="s">
        <v>492</v>
      </c>
      <c r="E13" s="134"/>
      <c r="F13" s="134"/>
      <c r="G13" s="135"/>
      <c r="H13" s="134"/>
      <c r="I13" s="136"/>
      <c r="J13" s="132" t="s">
        <v>68</v>
      </c>
      <c r="K13" s="132"/>
    </row>
    <row r="14" customFormat="1" spans="1:11">
      <c r="A14" s="127" t="s">
        <v>493</v>
      </c>
      <c r="B14" s="128"/>
      <c r="C14" s="128"/>
      <c r="D14" s="128"/>
      <c r="E14" s="128"/>
      <c r="F14" s="128"/>
      <c r="G14" s="128"/>
      <c r="H14" s="128"/>
      <c r="I14" s="128"/>
      <c r="J14" s="128"/>
      <c r="K14" s="129"/>
    </row>
    <row r="15" customFormat="1" ht="26.4" spans="1:11">
      <c r="A15" s="148" t="s">
        <v>85</v>
      </c>
      <c r="B15" s="148" t="s">
        <v>494</v>
      </c>
      <c r="C15" s="148" t="s">
        <v>495</v>
      </c>
      <c r="D15" s="149" t="s">
        <v>496</v>
      </c>
      <c r="E15" s="150"/>
      <c r="F15" s="150"/>
      <c r="G15" s="151"/>
      <c r="H15" s="152"/>
      <c r="I15" s="152"/>
      <c r="J15" s="153" t="s">
        <v>68</v>
      </c>
      <c r="K15" s="152"/>
    </row>
    <row r="16" customFormat="1" spans="1:11">
      <c r="A16" s="127" t="s">
        <v>497</v>
      </c>
      <c r="B16" s="128"/>
      <c r="C16" s="128"/>
      <c r="D16" s="128"/>
      <c r="E16" s="128"/>
      <c r="F16" s="128"/>
      <c r="G16" s="128"/>
      <c r="H16" s="128"/>
      <c r="I16" s="128"/>
      <c r="J16" s="128"/>
      <c r="K16" s="129"/>
    </row>
    <row r="17" customFormat="1" ht="39.6" spans="1:11">
      <c r="A17" s="148" t="s">
        <v>90</v>
      </c>
      <c r="B17" s="148" t="s">
        <v>498</v>
      </c>
      <c r="C17" s="148" t="s">
        <v>499</v>
      </c>
      <c r="D17" s="149" t="s">
        <v>500</v>
      </c>
      <c r="E17" s="150"/>
      <c r="F17" s="150"/>
      <c r="G17" s="151"/>
      <c r="H17" s="152"/>
      <c r="I17" s="152"/>
      <c r="J17" s="153" t="s">
        <v>68</v>
      </c>
      <c r="K17" s="152"/>
    </row>
    <row r="18" customFormat="1" spans="1:11">
      <c r="A18" s="127" t="s">
        <v>501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9"/>
    </row>
    <row r="19" customFormat="1" ht="39.6" spans="1:11">
      <c r="A19" s="148" t="s">
        <v>95</v>
      </c>
      <c r="B19" s="148" t="s">
        <v>502</v>
      </c>
      <c r="C19" s="148" t="s">
        <v>503</v>
      </c>
      <c r="D19" s="149" t="s">
        <v>504</v>
      </c>
      <c r="E19" s="150"/>
      <c r="F19" s="150"/>
      <c r="G19" s="151"/>
      <c r="H19" s="152"/>
      <c r="I19" s="152"/>
      <c r="J19" s="153" t="s">
        <v>68</v>
      </c>
      <c r="K19" s="152"/>
    </row>
    <row r="20" customFormat="1" spans="1:11">
      <c r="A20" s="127" t="s">
        <v>505</v>
      </c>
      <c r="B20" s="128"/>
      <c r="C20" s="128"/>
      <c r="D20" s="128"/>
      <c r="E20" s="128"/>
      <c r="F20" s="128"/>
      <c r="G20" s="128"/>
      <c r="H20" s="128"/>
      <c r="I20" s="128"/>
      <c r="J20" s="128"/>
      <c r="K20" s="129"/>
    </row>
    <row r="21" customFormat="1" ht="39.6" spans="1:11">
      <c r="A21" s="148" t="s">
        <v>100</v>
      </c>
      <c r="B21" s="148" t="s">
        <v>506</v>
      </c>
      <c r="C21" s="148" t="s">
        <v>507</v>
      </c>
      <c r="D21" s="149" t="s">
        <v>508</v>
      </c>
      <c r="E21" s="150"/>
      <c r="F21" s="150"/>
      <c r="G21" s="151"/>
      <c r="H21" s="152"/>
      <c r="I21" s="152"/>
      <c r="J21" s="153" t="s">
        <v>68</v>
      </c>
      <c r="K21" s="152"/>
    </row>
    <row r="22" customFormat="1" spans="1:11">
      <c r="A22" s="127" t="s">
        <v>509</v>
      </c>
      <c r="B22" s="128"/>
      <c r="C22" s="128"/>
      <c r="D22" s="128"/>
      <c r="E22" s="128"/>
      <c r="F22" s="128"/>
      <c r="G22" s="128"/>
      <c r="H22" s="128"/>
      <c r="I22" s="128"/>
      <c r="J22" s="128"/>
      <c r="K22" s="129"/>
    </row>
    <row r="23" customFormat="1" ht="52.8" spans="1:11">
      <c r="A23" s="148" t="s">
        <v>104</v>
      </c>
      <c r="B23" s="148" t="s">
        <v>510</v>
      </c>
      <c r="C23" s="148" t="s">
        <v>511</v>
      </c>
      <c r="D23" s="149" t="s">
        <v>512</v>
      </c>
      <c r="E23" s="150"/>
      <c r="F23" s="150"/>
      <c r="G23" s="151"/>
      <c r="H23" s="152"/>
      <c r="I23" s="152"/>
      <c r="J23" s="153" t="s">
        <v>68</v>
      </c>
      <c r="K23" s="152"/>
    </row>
    <row r="24" customFormat="1" spans="1:11">
      <c r="A24" s="127" t="s">
        <v>513</v>
      </c>
      <c r="B24" s="128"/>
      <c r="C24" s="128"/>
      <c r="D24" s="128"/>
      <c r="E24" s="128"/>
      <c r="F24" s="128"/>
      <c r="G24" s="128"/>
      <c r="H24" s="128"/>
      <c r="I24" s="128"/>
      <c r="J24" s="128"/>
      <c r="K24" s="129"/>
    </row>
    <row r="25" customFormat="1" ht="39.6" spans="1:11">
      <c r="A25" s="148" t="s">
        <v>109</v>
      </c>
      <c r="B25" s="148" t="s">
        <v>514</v>
      </c>
      <c r="C25" s="148" t="s">
        <v>515</v>
      </c>
      <c r="D25" s="149" t="s">
        <v>516</v>
      </c>
      <c r="E25" s="150"/>
      <c r="F25" s="150"/>
      <c r="G25" s="151"/>
      <c r="H25" s="152"/>
      <c r="I25" s="152"/>
      <c r="J25" s="153" t="s">
        <v>68</v>
      </c>
      <c r="K25" s="152"/>
    </row>
    <row r="26" customFormat="1" spans="1:11">
      <c r="A26" s="127" t="s">
        <v>517</v>
      </c>
      <c r="B26" s="128"/>
      <c r="C26" s="128"/>
      <c r="D26" s="128"/>
      <c r="E26" s="128"/>
      <c r="F26" s="128"/>
      <c r="G26" s="128"/>
      <c r="H26" s="128"/>
      <c r="I26" s="128"/>
      <c r="J26" s="128"/>
      <c r="K26" s="129"/>
    </row>
    <row r="27" customFormat="1" ht="39.6" spans="1:11">
      <c r="A27" s="148" t="s">
        <v>113</v>
      </c>
      <c r="B27" s="148" t="s">
        <v>518</v>
      </c>
      <c r="C27" s="148" t="s">
        <v>519</v>
      </c>
      <c r="D27" s="149" t="s">
        <v>520</v>
      </c>
      <c r="E27" s="150"/>
      <c r="F27" s="150"/>
      <c r="G27" s="151"/>
      <c r="H27" s="152"/>
      <c r="I27" s="152"/>
      <c r="J27" s="153" t="s">
        <v>68</v>
      </c>
      <c r="K27" s="152"/>
    </row>
    <row r="28" customFormat="1" spans="1:11">
      <c r="A28" s="127" t="s">
        <v>521</v>
      </c>
      <c r="B28" s="128"/>
      <c r="C28" s="128"/>
      <c r="D28" s="128"/>
      <c r="E28" s="128"/>
      <c r="F28" s="128"/>
      <c r="G28" s="128"/>
      <c r="H28" s="128"/>
      <c r="I28" s="128"/>
      <c r="J28" s="128"/>
      <c r="K28" s="129"/>
    </row>
    <row r="29" customFormat="1" ht="39.6" spans="1:11">
      <c r="A29" s="148" t="s">
        <v>118</v>
      </c>
      <c r="B29" s="148" t="s">
        <v>522</v>
      </c>
      <c r="C29" s="148" t="s">
        <v>523</v>
      </c>
      <c r="D29" s="149" t="s">
        <v>524</v>
      </c>
      <c r="E29" s="150"/>
      <c r="F29" s="150"/>
      <c r="G29" s="151"/>
      <c r="H29" s="152"/>
      <c r="I29" s="152"/>
      <c r="J29" s="153" t="s">
        <v>68</v>
      </c>
      <c r="K29" s="152"/>
    </row>
    <row r="30" customFormat="1" spans="1:11">
      <c r="A30" s="127" t="s">
        <v>525</v>
      </c>
      <c r="B30" s="128"/>
      <c r="C30" s="128"/>
      <c r="D30" s="128"/>
      <c r="E30" s="128"/>
      <c r="F30" s="128"/>
      <c r="G30" s="128"/>
      <c r="H30" s="128"/>
      <c r="I30" s="128"/>
      <c r="J30" s="128"/>
      <c r="K30" s="129"/>
    </row>
    <row r="31" customFormat="1" ht="52.8" spans="1:11">
      <c r="A31" s="148" t="s">
        <v>122</v>
      </c>
      <c r="B31" s="148" t="s">
        <v>526</v>
      </c>
      <c r="C31" s="148" t="s">
        <v>527</v>
      </c>
      <c r="D31" s="149" t="s">
        <v>528</v>
      </c>
      <c r="E31" s="150"/>
      <c r="F31" s="150"/>
      <c r="G31" s="151"/>
      <c r="H31" s="152"/>
      <c r="I31" s="152"/>
      <c r="J31" s="153" t="s">
        <v>68</v>
      </c>
      <c r="K31" s="152"/>
    </row>
    <row r="32" customFormat="1" spans="1:11">
      <c r="A32" s="127" t="s">
        <v>529</v>
      </c>
      <c r="B32" s="128"/>
      <c r="C32" s="128"/>
      <c r="D32" s="128"/>
      <c r="E32" s="128"/>
      <c r="F32" s="128"/>
      <c r="G32" s="128"/>
      <c r="H32" s="128"/>
      <c r="I32" s="128"/>
      <c r="J32" s="128"/>
      <c r="K32" s="129"/>
    </row>
    <row r="33" customFormat="1" ht="52.8" spans="1:11">
      <c r="A33" s="148" t="s">
        <v>126</v>
      </c>
      <c r="B33" s="148" t="s">
        <v>530</v>
      </c>
      <c r="C33" s="148" t="s">
        <v>531</v>
      </c>
      <c r="D33" s="149" t="s">
        <v>524</v>
      </c>
      <c r="E33" s="150"/>
      <c r="F33" s="150"/>
      <c r="G33" s="151"/>
      <c r="H33" s="152"/>
      <c r="I33" s="152"/>
      <c r="J33" s="153" t="s">
        <v>68</v>
      </c>
      <c r="K33" s="152"/>
    </row>
  </sheetData>
  <mergeCells count="35">
    <mergeCell ref="B3:D3"/>
    <mergeCell ref="B4:D4"/>
    <mergeCell ref="B5:D5"/>
    <mergeCell ref="A8:D8"/>
    <mergeCell ref="A11:K11"/>
    <mergeCell ref="A12:K12"/>
    <mergeCell ref="D13:G13"/>
    <mergeCell ref="A14:K14"/>
    <mergeCell ref="D15:G15"/>
    <mergeCell ref="A16:K16"/>
    <mergeCell ref="D17:G17"/>
    <mergeCell ref="A18:K18"/>
    <mergeCell ref="D19:G19"/>
    <mergeCell ref="A20:K20"/>
    <mergeCell ref="D21:G21"/>
    <mergeCell ref="A22:K22"/>
    <mergeCell ref="D23:G23"/>
    <mergeCell ref="A24:K24"/>
    <mergeCell ref="D25:G25"/>
    <mergeCell ref="A26:K26"/>
    <mergeCell ref="D27:G27"/>
    <mergeCell ref="A28:K28"/>
    <mergeCell ref="D29:G29"/>
    <mergeCell ref="A30:K30"/>
    <mergeCell ref="D31:G31"/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55"/>
  <sheetViews>
    <sheetView tabSelected="1" zoomScale="72" zoomScaleNormal="72" workbookViewId="0">
      <selection activeCell="H21" sqref="H21"/>
    </sheetView>
  </sheetViews>
  <sheetFormatPr defaultColWidth="8.75" defaultRowHeight="13.2"/>
  <cols>
    <col min="1" max="1" width="15.6296296296296" customWidth="1"/>
    <col min="2" max="2" width="18.1296296296296" customWidth="1"/>
    <col min="3" max="3" width="42.1296296296296" customWidth="1"/>
    <col min="6" max="6" width="23.6296296296296" customWidth="1"/>
    <col min="7" max="7" width="18.5" hidden="1" customWidth="1"/>
    <col min="8" max="8" width="38" customWidth="1"/>
    <col min="9" max="9" width="17.1296296296296" customWidth="1"/>
    <col min="10" max="10" width="9" style="5"/>
    <col min="11" max="11" width="18" customWidth="1"/>
  </cols>
  <sheetData>
    <row r="1" s="73" customFormat="1" ht="12.75" customHeight="1" spans="1:12">
      <c r="A1" s="79" t="s">
        <v>0</v>
      </c>
      <c r="B1" s="80"/>
      <c r="C1" s="80"/>
      <c r="D1" s="80"/>
      <c r="E1" s="81"/>
      <c r="F1" s="81"/>
      <c r="G1" s="81"/>
      <c r="H1" s="81"/>
      <c r="I1" s="81"/>
      <c r="J1" s="82"/>
      <c r="K1" s="81"/>
      <c r="L1" s="83"/>
    </row>
    <row r="2" s="73" customFormat="1" ht="11.25" customHeight="1" spans="1:12">
      <c r="A2" s="83"/>
      <c r="B2" s="84"/>
      <c r="C2" s="84"/>
      <c r="D2" s="84"/>
      <c r="E2" s="81"/>
      <c r="F2" s="81"/>
      <c r="G2" s="81"/>
      <c r="H2" s="81"/>
      <c r="I2" s="81"/>
      <c r="J2" s="82"/>
      <c r="K2" s="81"/>
      <c r="L2" s="83"/>
    </row>
    <row r="3" s="74" customFormat="1" ht="15" customHeight="1" spans="1:12">
      <c r="A3" s="85" t="s">
        <v>61</v>
      </c>
      <c r="B3" s="86" t="s">
        <v>532</v>
      </c>
      <c r="C3" s="86"/>
      <c r="D3" s="87"/>
      <c r="E3" s="88"/>
      <c r="F3" s="88"/>
      <c r="G3" s="88"/>
      <c r="H3" s="88"/>
      <c r="I3" s="89"/>
      <c r="J3" s="89"/>
      <c r="K3" s="89"/>
      <c r="L3" s="90"/>
    </row>
    <row r="4" s="74" customFormat="1" spans="1:12">
      <c r="A4" s="91" t="s">
        <v>63</v>
      </c>
      <c r="B4" s="92" t="s">
        <v>533</v>
      </c>
      <c r="C4" s="93"/>
      <c r="D4" s="94"/>
      <c r="E4" s="88"/>
      <c r="F4" s="88"/>
      <c r="G4" s="88"/>
      <c r="H4" s="88"/>
      <c r="I4" s="89"/>
      <c r="J4" s="89"/>
      <c r="K4" s="89"/>
      <c r="L4" s="90"/>
    </row>
    <row r="5" s="75" customFormat="1" ht="26.4" spans="1:12">
      <c r="A5" s="91" t="s">
        <v>65</v>
      </c>
      <c r="B5" s="95" t="s">
        <v>66</v>
      </c>
      <c r="C5" s="96"/>
      <c r="D5" s="97"/>
      <c r="E5" s="98"/>
      <c r="F5" s="98"/>
      <c r="G5" s="98"/>
      <c r="H5" s="98"/>
      <c r="I5" s="99"/>
      <c r="J5" s="99"/>
      <c r="K5" s="99"/>
      <c r="L5" s="100"/>
    </row>
    <row r="6" s="74" customFormat="1" ht="15" customHeight="1" spans="1:12">
      <c r="A6" s="101" t="s">
        <v>67</v>
      </c>
      <c r="B6" s="102">
        <f>COUNTIF(J12:J17,"Pass")</f>
        <v>3</v>
      </c>
      <c r="C6" s="103" t="s">
        <v>68</v>
      </c>
      <c r="D6" s="104">
        <f>COUNTIF(J10:J736,"Pending")</f>
        <v>0</v>
      </c>
      <c r="E6" s="89"/>
      <c r="F6" s="89"/>
      <c r="G6" s="89"/>
      <c r="H6" s="89"/>
      <c r="I6" s="89"/>
      <c r="J6" s="89"/>
      <c r="K6" s="89"/>
      <c r="L6" s="90"/>
    </row>
    <row r="7" s="74" customFormat="1" ht="15" customHeight="1" spans="1:12">
      <c r="A7" s="105" t="s">
        <v>69</v>
      </c>
      <c r="B7" s="106">
        <f>COUNTIF(J12:J17,"Fail")</f>
        <v>0</v>
      </c>
      <c r="C7" s="107" t="s">
        <v>70</v>
      </c>
      <c r="D7" s="108">
        <f>COUNTA(A12:A17)-15</f>
        <v>-9</v>
      </c>
      <c r="E7" s="109"/>
      <c r="F7" s="109"/>
      <c r="G7" s="109"/>
      <c r="H7" s="109"/>
      <c r="I7" s="89"/>
      <c r="J7" s="89"/>
      <c r="K7" s="89"/>
      <c r="L7" s="90"/>
    </row>
    <row r="8" s="74" customFormat="1" ht="15" customHeight="1" spans="1:12">
      <c r="A8" s="110"/>
      <c r="B8" s="110"/>
      <c r="C8" s="110"/>
      <c r="D8" s="110"/>
      <c r="E8" s="89"/>
      <c r="F8" s="89"/>
      <c r="G8" s="89"/>
      <c r="H8" s="89"/>
      <c r="I8" s="89"/>
      <c r="J8" s="111"/>
      <c r="K8" s="111"/>
      <c r="L8" s="90"/>
    </row>
    <row r="9" s="76" customFormat="1" ht="12" customHeight="1" spans="1:12">
      <c r="A9" s="112" t="s">
        <v>71</v>
      </c>
      <c r="B9" s="113" t="s">
        <v>72</v>
      </c>
      <c r="C9" s="112" t="s">
        <v>73</v>
      </c>
      <c r="D9" s="114" t="s">
        <v>74</v>
      </c>
      <c r="E9" s="115"/>
      <c r="F9" s="115"/>
      <c r="G9" s="116"/>
      <c r="H9" s="117" t="s">
        <v>75</v>
      </c>
      <c r="I9" s="118" t="s">
        <v>76</v>
      </c>
      <c r="J9" s="118" t="s">
        <v>77</v>
      </c>
      <c r="K9" s="118" t="s">
        <v>78</v>
      </c>
      <c r="L9" s="119"/>
    </row>
    <row r="10" s="74" customFormat="1" ht="12" customHeight="1" spans="1:12">
      <c r="A10" s="120"/>
      <c r="B10" s="121"/>
      <c r="C10" s="120"/>
      <c r="D10" s="122"/>
      <c r="E10" s="123"/>
      <c r="F10" s="123"/>
      <c r="G10" s="124"/>
      <c r="H10" s="112"/>
      <c r="I10" s="112"/>
      <c r="J10" s="112"/>
      <c r="K10" s="112"/>
      <c r="L10" s="90"/>
    </row>
    <row r="11" s="77" customFormat="1" ht="15" spans="1:12">
      <c r="A11" s="125"/>
      <c r="B11" s="125"/>
      <c r="C11" s="125"/>
      <c r="D11" s="125"/>
      <c r="E11" s="125"/>
      <c r="F11" s="125"/>
      <c r="G11" s="125"/>
      <c r="H11" s="125"/>
      <c r="I11" s="125"/>
      <c r="J11" s="125"/>
      <c r="K11" s="126"/>
    </row>
    <row r="12" s="78" customFormat="1" spans="1:12">
      <c r="A12" s="127" t="s">
        <v>534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9"/>
    </row>
    <row r="13" s="78" customFormat="1" ht="79.2" outlineLevel="1" spans="1:12">
      <c r="A13" s="130" t="s">
        <v>80</v>
      </c>
      <c r="B13" s="131" t="s">
        <v>535</v>
      </c>
      <c r="C13" s="132" t="s">
        <v>536</v>
      </c>
      <c r="D13" s="133" t="s">
        <v>537</v>
      </c>
      <c r="E13" s="134"/>
      <c r="F13" s="134"/>
      <c r="G13" s="135"/>
      <c r="H13" s="134"/>
      <c r="I13" s="136"/>
      <c r="J13" s="132" t="s">
        <v>67</v>
      </c>
      <c r="K13" s="132"/>
    </row>
    <row r="14" s="78" customFormat="1" outlineLevel="1" spans="1:12">
      <c r="A14" s="137" t="s">
        <v>538</v>
      </c>
      <c r="B14" s="138"/>
      <c r="C14" s="138"/>
      <c r="D14" s="128"/>
      <c r="E14" s="128"/>
      <c r="F14" s="128"/>
      <c r="G14" s="128"/>
      <c r="H14" s="128"/>
      <c r="I14" s="128"/>
      <c r="J14" s="128"/>
      <c r="K14" s="129"/>
    </row>
    <row r="15" s="78" customFormat="1" ht="63.75" customHeight="1" outlineLevel="1" spans="1:12">
      <c r="A15" s="130" t="s">
        <v>85</v>
      </c>
      <c r="B15" s="139" t="s">
        <v>539</v>
      </c>
      <c r="C15" s="140" t="s">
        <v>540</v>
      </c>
      <c r="D15" s="141" t="s">
        <v>541</v>
      </c>
      <c r="E15" s="134"/>
      <c r="F15" s="134"/>
      <c r="G15" s="135"/>
      <c r="H15" s="134"/>
      <c r="I15" s="133"/>
      <c r="J15" s="132" t="s">
        <v>67</v>
      </c>
      <c r="K15" s="132"/>
    </row>
    <row r="16" s="78" customFormat="1" outlineLevel="1" spans="1:12">
      <c r="A16" s="137" t="s">
        <v>542</v>
      </c>
      <c r="B16" s="138"/>
      <c r="C16" s="138"/>
      <c r="D16" s="128"/>
      <c r="E16" s="128"/>
      <c r="F16" s="128"/>
      <c r="G16" s="128"/>
      <c r="H16" s="128"/>
      <c r="I16" s="128"/>
      <c r="J16" s="128"/>
      <c r="K16" s="129"/>
    </row>
    <row r="17" s="78" customFormat="1" ht="63.75" customHeight="1" outlineLevel="1" spans="1:11">
      <c r="A17" s="130" t="s">
        <v>90</v>
      </c>
      <c r="B17" s="142" t="s">
        <v>539</v>
      </c>
      <c r="C17" s="132" t="s">
        <v>543</v>
      </c>
      <c r="D17" s="141" t="s">
        <v>544</v>
      </c>
      <c r="E17" s="143"/>
      <c r="F17" s="143"/>
      <c r="G17" s="135"/>
      <c r="H17" s="134"/>
      <c r="I17" s="133"/>
      <c r="J17" s="132" t="s">
        <v>67</v>
      </c>
      <c r="K17" s="132"/>
    </row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A14:C14"/>
    <mergeCell ref="D15:F15"/>
    <mergeCell ref="A16:C16"/>
    <mergeCell ref="D17:F17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pageMargins left="0.75" right="0.75" top="1" bottom="1" header="0.5" footer="0.5"/>
  <pageSetup paperSize="1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85" zoomScaleNormal="85" topLeftCell="A9" workbookViewId="0">
      <selection activeCell="M10" sqref="M10"/>
    </sheetView>
  </sheetViews>
  <sheetFormatPr defaultColWidth="8.75" defaultRowHeight="13.2" outlineLevelCol="7"/>
  <cols>
    <col min="3" max="3" width="22.7777777777778" customWidth="1"/>
    <col min="7" max="7" width="27.3333333333333" customWidth="1"/>
  </cols>
  <sheetData>
    <row r="1" customFormat="1" ht="22.2" spans="1:8">
      <c r="A1" s="4" t="s">
        <v>545</v>
      </c>
      <c r="B1" s="2"/>
      <c r="C1" s="3"/>
      <c r="D1" s="3"/>
      <c r="E1" s="3"/>
      <c r="F1" s="3"/>
      <c r="G1" s="57"/>
    </row>
    <row r="2" customFormat="1" ht="14.25" customHeight="1" spans="1:8">
      <c r="A2" s="4"/>
      <c r="B2" s="2"/>
      <c r="C2" s="3"/>
      <c r="D2" s="3"/>
      <c r="E2" s="3"/>
      <c r="F2" s="3"/>
      <c r="G2" s="57"/>
    </row>
    <row r="3" customFormat="1" spans="1:8">
      <c r="B3" s="5" t="s">
        <v>546</v>
      </c>
      <c r="C3" s="3"/>
      <c r="D3" s="3"/>
      <c r="E3" s="3"/>
      <c r="F3" s="3"/>
      <c r="G3" s="57"/>
    </row>
    <row r="4" customFormat="1" spans="1:8">
      <c r="B4" s="5" t="s">
        <v>547</v>
      </c>
      <c r="C4" s="58"/>
      <c r="D4" s="5"/>
      <c r="E4" s="5"/>
      <c r="F4" s="5"/>
      <c r="G4" s="5"/>
    </row>
    <row r="5" customFormat="1" spans="1:8">
      <c r="A5" s="5"/>
      <c r="B5" s="5"/>
      <c r="C5" s="5"/>
      <c r="D5" s="5"/>
      <c r="E5" s="5"/>
      <c r="F5" s="5"/>
      <c r="G5" s="5"/>
    </row>
    <row r="6" customFormat="1" spans="1:8">
      <c r="A6" s="5"/>
      <c r="B6" s="5"/>
      <c r="C6" s="5"/>
      <c r="D6" s="5"/>
      <c r="E6" s="5"/>
      <c r="F6" s="5"/>
      <c r="G6" s="5"/>
    </row>
    <row r="7" customFormat="1" ht="40.05" customHeight="1" spans="1:8">
      <c r="A7" s="5"/>
      <c r="B7" s="59" t="s">
        <v>548</v>
      </c>
      <c r="C7" s="60" t="s">
        <v>549</v>
      </c>
      <c r="D7" s="61" t="s">
        <v>67</v>
      </c>
      <c r="E7" s="60" t="s">
        <v>69</v>
      </c>
      <c r="F7" s="60" t="s">
        <v>68</v>
      </c>
      <c r="G7" s="62" t="s">
        <v>550</v>
      </c>
      <c r="H7" s="63"/>
    </row>
    <row r="8" s="56" customFormat="1" ht="40.05" customHeight="1" spans="1:8">
      <c r="A8" s="16"/>
      <c r="B8" s="64">
        <v>1</v>
      </c>
      <c r="C8" s="65" t="s">
        <v>551</v>
      </c>
      <c r="D8" s="64">
        <v>0</v>
      </c>
      <c r="E8" s="64">
        <v>0</v>
      </c>
      <c r="F8" s="64">
        <v>26</v>
      </c>
      <c r="G8" s="66">
        <v>26</v>
      </c>
      <c r="H8" s="66"/>
    </row>
    <row r="9" s="56" customFormat="1" ht="40.05" customHeight="1" spans="1:8">
      <c r="A9" s="16"/>
      <c r="B9" s="67">
        <v>2</v>
      </c>
      <c r="C9" s="68" t="s">
        <v>552</v>
      </c>
      <c r="D9" s="67">
        <v>0</v>
      </c>
      <c r="E9" s="67">
        <v>0</v>
      </c>
      <c r="F9" s="67">
        <v>17</v>
      </c>
      <c r="G9" s="69">
        <v>17</v>
      </c>
      <c r="H9" s="69"/>
    </row>
    <row r="10" s="56" customFormat="1" ht="40.05" customHeight="1" spans="1:8">
      <c r="A10" s="16"/>
      <c r="B10" s="64">
        <v>3</v>
      </c>
      <c r="C10" s="65" t="s">
        <v>553</v>
      </c>
      <c r="D10" s="64">
        <v>0</v>
      </c>
      <c r="E10" s="64">
        <v>0</v>
      </c>
      <c r="F10" s="64">
        <v>8</v>
      </c>
      <c r="G10" s="66">
        <v>8</v>
      </c>
      <c r="H10" s="66"/>
    </row>
    <row r="11" s="56" customFormat="1" ht="40.05" customHeight="1" spans="1:8">
      <c r="A11" s="16"/>
      <c r="B11" s="67">
        <v>4</v>
      </c>
      <c r="C11" s="68" t="s">
        <v>554</v>
      </c>
      <c r="D11" s="67">
        <v>0</v>
      </c>
      <c r="E11" s="67">
        <v>0</v>
      </c>
      <c r="F11" s="67">
        <v>18</v>
      </c>
      <c r="G11" s="69">
        <v>18</v>
      </c>
      <c r="H11" s="69"/>
    </row>
    <row r="12" s="56" customFormat="1" ht="40.05" customHeight="1" spans="1:8">
      <c r="A12" s="16"/>
      <c r="B12" s="64">
        <v>5</v>
      </c>
      <c r="C12" s="65" t="s">
        <v>555</v>
      </c>
      <c r="D12" s="64">
        <v>0</v>
      </c>
      <c r="E12" s="64">
        <v>0</v>
      </c>
      <c r="F12" s="64">
        <v>10</v>
      </c>
      <c r="G12" s="66">
        <v>10</v>
      </c>
      <c r="H12" s="66"/>
    </row>
    <row r="13" s="56" customFormat="1" ht="40.05" customHeight="1" spans="1:8">
      <c r="A13" s="16"/>
      <c r="B13" s="67">
        <v>6</v>
      </c>
      <c r="C13" s="68" t="s">
        <v>556</v>
      </c>
      <c r="D13" s="67">
        <v>0</v>
      </c>
      <c r="E13" s="67">
        <v>0</v>
      </c>
      <c r="F13" s="67">
        <v>12</v>
      </c>
      <c r="G13" s="69">
        <v>12</v>
      </c>
      <c r="H13" s="69"/>
    </row>
    <row r="14" s="56" customFormat="1" ht="40.05" customHeight="1" spans="1:8">
      <c r="A14" s="16"/>
      <c r="B14" s="64">
        <v>7</v>
      </c>
      <c r="C14" s="65" t="s">
        <v>557</v>
      </c>
      <c r="D14" s="64">
        <v>0</v>
      </c>
      <c r="E14" s="64">
        <v>0</v>
      </c>
      <c r="F14" s="64">
        <v>16</v>
      </c>
      <c r="G14" s="66">
        <v>14</v>
      </c>
      <c r="H14" s="66"/>
    </row>
    <row r="15" customFormat="1" ht="40.05" customHeight="1" spans="1:8">
      <c r="A15" s="5"/>
      <c r="B15" s="67">
        <v>8</v>
      </c>
      <c r="C15" s="68" t="s">
        <v>558</v>
      </c>
      <c r="D15" s="67">
        <v>0</v>
      </c>
      <c r="E15" s="67">
        <v>0</v>
      </c>
      <c r="F15" s="67">
        <v>6</v>
      </c>
      <c r="G15" s="69">
        <v>6</v>
      </c>
      <c r="H15" s="69"/>
    </row>
    <row r="16" customFormat="1" ht="40.05" customHeight="1" spans="1:8">
      <c r="A16" s="5"/>
      <c r="B16" s="45"/>
      <c r="C16" s="46" t="s">
        <v>559</v>
      </c>
      <c r="D16" s="48">
        <v>0</v>
      </c>
      <c r="E16" s="48">
        <v>0</v>
      </c>
      <c r="F16" s="48">
        <v>113</v>
      </c>
      <c r="G16" s="70">
        <v>111</v>
      </c>
      <c r="H16" s="71"/>
    </row>
    <row r="17" customFormat="1" spans="1:7">
      <c r="A17" s="5"/>
      <c r="B17" s="52"/>
      <c r="C17" s="5"/>
      <c r="D17" s="53"/>
      <c r="E17" s="54"/>
      <c r="F17" s="54"/>
      <c r="G17" s="54"/>
    </row>
    <row r="18" customFormat="1" spans="1:7">
      <c r="A18" s="5"/>
      <c r="B18" s="5"/>
      <c r="C18" s="5" t="s">
        <v>560</v>
      </c>
      <c r="D18" s="5"/>
      <c r="E18" s="55">
        <v>0</v>
      </c>
      <c r="F18" s="5" t="s">
        <v>561</v>
      </c>
      <c r="G18" s="72"/>
    </row>
    <row r="19" customFormat="1" spans="1:7">
      <c r="A19" s="5"/>
      <c r="B19" s="5"/>
      <c r="C19" s="5" t="s">
        <v>562</v>
      </c>
      <c r="D19" s="5"/>
      <c r="E19" s="55">
        <v>0</v>
      </c>
      <c r="F19" s="5" t="s">
        <v>561</v>
      </c>
      <c r="G19" s="72"/>
    </row>
  </sheetData>
  <mergeCells count="10"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</mergeCells>
  <pageMargins left="0.75" right="0.75" top="1" bottom="1" header="0.5" footer="0.5"/>
  <pageSetup paperSize="1" orientation="landscape"/>
  <headerFooter alignWithMargins="0">
    <oddFooter>&amp;L&amp;"Tahoma,Regular"&amp;8 02ae-BM/PM/HDCV/FSOFT v1/0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zoomScale="115" zoomScaleNormal="115" workbookViewId="0">
      <selection activeCell="H4" sqref="H4"/>
    </sheetView>
  </sheetViews>
  <sheetFormatPr defaultColWidth="9" defaultRowHeight="13.2"/>
  <cols>
    <col min="2" max="2" width="13.3796296296296" customWidth="1"/>
    <col min="3" max="3" width="19.8796296296296" customWidth="1"/>
    <col min="4" max="4" width="11.8796296296296" customWidth="1"/>
    <col min="5" max="6" width="11.5" customWidth="1"/>
    <col min="7" max="7" width="34.5" customWidth="1"/>
    <col min="8" max="8" width="40.3796296296296" customWidth="1"/>
    <col min="9" max="9" width="45.8796296296296" customWidth="1"/>
  </cols>
  <sheetData>
    <row r="1" ht="22.2" spans="1:10">
      <c r="A1" s="1" t="s">
        <v>563</v>
      </c>
      <c r="B1" s="2"/>
      <c r="C1" s="3"/>
      <c r="D1" s="3"/>
      <c r="E1" s="3"/>
      <c r="F1" s="3"/>
      <c r="G1" s="3"/>
      <c r="H1" s="3"/>
      <c r="I1" s="3"/>
    </row>
    <row r="2" ht="22.2" spans="1:10">
      <c r="A2" s="4"/>
      <c r="B2" s="2"/>
      <c r="C2" s="3"/>
      <c r="D2" s="3"/>
      <c r="E2" s="3"/>
      <c r="F2" s="3"/>
      <c r="G2" s="3"/>
      <c r="H2" s="3"/>
      <c r="I2" s="3"/>
    </row>
    <row r="3" spans="1:10">
      <c r="B3" s="5" t="s">
        <v>546</v>
      </c>
      <c r="C3" s="6" t="s">
        <v>564</v>
      </c>
      <c r="D3" s="3"/>
      <c r="E3" s="3"/>
      <c r="F3" s="3"/>
      <c r="G3" s="3"/>
      <c r="H3" s="3"/>
      <c r="I3" s="3"/>
    </row>
    <row r="4" spans="1:10">
      <c r="B4" s="5"/>
      <c r="C4" s="7"/>
      <c r="D4" s="5"/>
      <c r="E4" s="8"/>
      <c r="F4" s="5"/>
      <c r="G4" s="5"/>
      <c r="H4" s="5"/>
      <c r="I4" s="5"/>
    </row>
    <row r="5" spans="1:10">
      <c r="B5" s="5"/>
      <c r="C5" s="9"/>
      <c r="D5" s="5"/>
      <c r="E5" s="5"/>
      <c r="F5" s="5"/>
      <c r="G5" s="5"/>
      <c r="H5" s="5"/>
      <c r="I5" s="5"/>
    </row>
    <row r="6" ht="14.25" customHeight="1" spans="1:10">
      <c r="A6" s="5"/>
      <c r="B6" s="5"/>
      <c r="C6" s="5"/>
      <c r="D6" s="10"/>
      <c r="E6" s="10"/>
      <c r="F6" s="10"/>
      <c r="G6" s="10"/>
      <c r="H6" s="10"/>
      <c r="I6" s="10"/>
    </row>
    <row r="7" ht="14.25" customHeight="1" spans="1:10">
      <c r="A7" s="5"/>
      <c r="B7" s="5"/>
      <c r="C7" s="5"/>
      <c r="D7" s="10"/>
      <c r="E7" s="10"/>
      <c r="F7" s="10"/>
      <c r="G7" s="10"/>
      <c r="H7" s="10"/>
      <c r="I7" s="10"/>
    </row>
    <row r="8" ht="18.75" customHeight="1" spans="1:10">
      <c r="A8" s="5"/>
      <c r="B8" s="11" t="s">
        <v>547</v>
      </c>
      <c r="C8" s="12" t="s">
        <v>565</v>
      </c>
      <c r="D8" s="13" t="s">
        <v>566</v>
      </c>
      <c r="E8" s="14" t="s">
        <v>567</v>
      </c>
      <c r="F8" s="14" t="s">
        <v>568</v>
      </c>
      <c r="G8" s="14" t="s">
        <v>569</v>
      </c>
      <c r="H8" s="15" t="s">
        <v>570</v>
      </c>
      <c r="I8" s="15"/>
    </row>
    <row r="9" ht="15.75" customHeight="1" spans="1:10">
      <c r="A9" s="16"/>
      <c r="B9" s="17" t="s">
        <v>571</v>
      </c>
      <c r="C9" s="18" t="s">
        <v>572</v>
      </c>
      <c r="D9" s="19">
        <v>12</v>
      </c>
      <c r="E9" s="20">
        <v>0</v>
      </c>
      <c r="F9" s="21">
        <v>1</v>
      </c>
      <c r="G9" s="22" t="s">
        <v>573</v>
      </c>
      <c r="H9" s="23" t="s">
        <v>573</v>
      </c>
      <c r="I9" s="24"/>
      <c r="J9" s="25"/>
    </row>
    <row r="10" ht="16.5" customHeight="1" spans="1:10">
      <c r="A10" s="16"/>
      <c r="B10" s="26"/>
      <c r="C10" s="18" t="s">
        <v>574</v>
      </c>
      <c r="D10" s="27">
        <v>92</v>
      </c>
      <c r="E10" s="28">
        <v>4</v>
      </c>
      <c r="F10" s="29">
        <v>0.96</v>
      </c>
      <c r="G10" s="30" t="s">
        <v>575</v>
      </c>
      <c r="H10" s="31" t="s">
        <v>576</v>
      </c>
      <c r="I10" s="24"/>
      <c r="J10" s="25"/>
    </row>
    <row r="11" ht="15.75" customHeight="1" spans="1:10">
      <c r="A11" s="16"/>
      <c r="B11" s="26"/>
      <c r="C11" s="18" t="s">
        <v>577</v>
      </c>
      <c r="D11" s="27">
        <v>137</v>
      </c>
      <c r="E11" s="32">
        <v>29</v>
      </c>
      <c r="F11" s="33">
        <v>0.79</v>
      </c>
      <c r="G11" s="34" t="s">
        <v>578</v>
      </c>
      <c r="H11" s="35" t="s">
        <v>579</v>
      </c>
      <c r="I11" s="24"/>
      <c r="J11" s="25"/>
    </row>
    <row r="12" ht="16.5" customHeight="1" spans="1:10">
      <c r="A12" s="16"/>
      <c r="B12" s="26"/>
      <c r="C12" s="18" t="s">
        <v>580</v>
      </c>
      <c r="D12" s="27">
        <v>541</v>
      </c>
      <c r="E12" s="36">
        <v>123</v>
      </c>
      <c r="F12" s="37">
        <v>0.77</v>
      </c>
      <c r="G12" s="38" t="s">
        <v>581</v>
      </c>
      <c r="H12" s="39" t="s">
        <v>582</v>
      </c>
      <c r="I12" s="24"/>
      <c r="J12" s="25"/>
    </row>
    <row r="13" ht="15" customHeight="1" spans="1:10">
      <c r="A13" s="16"/>
      <c r="B13" s="40"/>
      <c r="C13" s="18" t="s">
        <v>583</v>
      </c>
      <c r="D13" s="27">
        <v>167</v>
      </c>
      <c r="E13" s="41">
        <v>5</v>
      </c>
      <c r="F13" s="42">
        <v>0.97</v>
      </c>
      <c r="G13" s="43" t="s">
        <v>584</v>
      </c>
      <c r="H13" s="44" t="s">
        <v>585</v>
      </c>
      <c r="I13" s="24"/>
    </row>
    <row r="14" spans="1:10">
      <c r="A14" s="5"/>
      <c r="B14" s="45"/>
      <c r="C14" s="46" t="s">
        <v>559</v>
      </c>
      <c r="D14" s="47">
        <f>SUM(D7:D13)</f>
        <v>949</v>
      </c>
      <c r="E14" s="48">
        <f>SUM(E7:E13)</f>
        <v>161</v>
      </c>
      <c r="F14" s="47"/>
      <c r="G14" s="49"/>
      <c r="H14" s="50"/>
      <c r="I14" s="51"/>
    </row>
    <row r="15" spans="1:10">
      <c r="A15" s="5"/>
      <c r="B15" s="52"/>
      <c r="C15" s="5"/>
      <c r="D15" s="53"/>
      <c r="E15" s="54"/>
      <c r="F15" s="54"/>
      <c r="G15" s="54"/>
      <c r="H15" s="54"/>
      <c r="I15" s="54"/>
    </row>
    <row r="16" spans="1:10">
      <c r="A16" s="5"/>
      <c r="B16" s="5"/>
      <c r="C16" s="5"/>
      <c r="D16" s="55"/>
      <c r="E16" s="55"/>
      <c r="F16" s="55"/>
      <c r="G16" s="5"/>
      <c r="H16" s="5"/>
      <c r="I16" s="5"/>
    </row>
    <row r="17" spans="1:9">
      <c r="A17" s="5"/>
      <c r="B17" s="5"/>
      <c r="C17" s="5"/>
      <c r="D17" s="5"/>
      <c r="F17" s="55"/>
      <c r="G17" s="5"/>
      <c r="H17" s="5"/>
      <c r="I17" s="5"/>
    </row>
  </sheetData>
  <mergeCells count="2">
    <mergeCell ref="B9:B13"/>
    <mergeCell ref="I9:I13"/>
  </mergeCells>
  <pageMargins left="0.7" right="0.7" top="0.75" bottom="0.75" header="0.3" footer="0.3"/>
  <pageSetup paperSize="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  <vt:lpstr>pytest-cov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ngoot</cp:lastModifiedBy>
  <dcterms:created xsi:type="dcterms:W3CDTF">2002-07-27T17:17:00Z</dcterms:created>
  <cp:lastPrinted>2006-08-02T10:15:00Z</cp:lastPrinted>
  <dcterms:modified xsi:type="dcterms:W3CDTF">2026-04-28T08:51:05Z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